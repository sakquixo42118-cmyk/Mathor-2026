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Downloads\罕见病医保谈判的策略与分析\数据\"/>
    </mc:Choice>
  </mc:AlternateContent>
  <xr:revisionPtr revIDLastSave="0" documentId="13_ncr:1_{124CC406-E555-4C49-9660-A2A952C6087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医保谈判品种清单" sheetId="3" r:id="rId1"/>
    <sheet name="续签品种清单" sheetId="4" r:id="rId2"/>
    <sheet name="协议期内从谈判药品转到常规药品" sheetId="5" r:id="rId3"/>
    <sheet name="调出目录11个品种" sheetId="6" r:id="rId4"/>
    <sheet name="新适应症未进入医保清单" sheetId="7" r:id="rId5"/>
  </sheets>
  <definedNames>
    <definedName name="_xlnm._FilterDatabase" localSheetId="1" hidden="1">续签品种清单!$A$3:$H$117</definedName>
    <definedName name="_xlnm._FilterDatabase" localSheetId="0" hidden="1">医保谈判品种清单!$B$3:$G$72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1" i="4" l="1"/>
  <c r="H120" i="4"/>
  <c r="H119" i="4"/>
  <c r="H118" i="4"/>
  <c r="H117" i="4"/>
  <c r="H116" i="4"/>
  <c r="H115" i="4"/>
  <c r="H114" i="4"/>
  <c r="H113" i="4"/>
  <c r="H112" i="4"/>
  <c r="H111" i="4"/>
  <c r="H110" i="4"/>
  <c r="H108" i="4"/>
  <c r="H105" i="4"/>
  <c r="H104" i="4"/>
  <c r="H99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0" i="4"/>
  <c r="H69" i="4"/>
  <c r="H68" i="4"/>
  <c r="H67" i="4"/>
  <c r="H63" i="4"/>
  <c r="H62" i="4"/>
  <c r="H61" i="4"/>
  <c r="H57" i="4"/>
  <c r="H56" i="4"/>
  <c r="H53" i="4"/>
  <c r="H52" i="4"/>
  <c r="H51" i="4"/>
  <c r="H49" i="4"/>
  <c r="H48" i="4"/>
  <c r="H46" i="4"/>
  <c r="H44" i="4"/>
  <c r="H43" i="4"/>
  <c r="H42" i="4"/>
  <c r="H41" i="4"/>
  <c r="H40" i="4"/>
  <c r="H39" i="4"/>
  <c r="H36" i="4"/>
  <c r="H35" i="4"/>
  <c r="H30" i="4"/>
  <c r="H29" i="4"/>
  <c r="H28" i="4"/>
  <c r="H27" i="4"/>
  <c r="H26" i="4"/>
  <c r="H25" i="4"/>
  <c r="H24" i="4"/>
  <c r="H23" i="4"/>
  <c r="H21" i="4"/>
  <c r="H20" i="4"/>
  <c r="H19" i="4"/>
  <c r="H18" i="4"/>
  <c r="H17" i="4"/>
  <c r="H8" i="4"/>
  <c r="H7" i="4"/>
  <c r="H6" i="4"/>
  <c r="H5" i="4"/>
  <c r="G86" i="3"/>
  <c r="G84" i="3"/>
  <c r="G83" i="3"/>
  <c r="G82" i="3"/>
  <c r="G81" i="3"/>
  <c r="G79" i="3"/>
  <c r="G78" i="3"/>
  <c r="G77" i="3"/>
  <c r="G76" i="3"/>
  <c r="G75" i="3"/>
  <c r="G73" i="3"/>
  <c r="G72" i="3"/>
  <c r="G71" i="3"/>
  <c r="G70" i="3"/>
  <c r="G69" i="3"/>
  <c r="G68" i="3"/>
  <c r="G65" i="3"/>
  <c r="G64" i="3"/>
  <c r="G63" i="3"/>
  <c r="G61" i="3"/>
  <c r="G59" i="3"/>
  <c r="G58" i="3"/>
  <c r="G57" i="3"/>
  <c r="G55" i="3"/>
  <c r="G54" i="3"/>
  <c r="G53" i="3"/>
  <c r="G52" i="3"/>
  <c r="G51" i="3"/>
  <c r="G48" i="3"/>
  <c r="G47" i="3"/>
  <c r="G46" i="3"/>
  <c r="G43" i="3"/>
  <c r="G41" i="3"/>
  <c r="G40" i="3"/>
  <c r="G39" i="3"/>
  <c r="G37" i="3"/>
  <c r="G36" i="3"/>
  <c r="G33" i="3"/>
  <c r="G31" i="3"/>
  <c r="G30" i="3"/>
  <c r="G29" i="3"/>
  <c r="G26" i="3"/>
  <c r="G22" i="3"/>
  <c r="G21" i="3"/>
  <c r="G20" i="3"/>
  <c r="G19" i="3"/>
  <c r="G18" i="3"/>
  <c r="G17" i="3"/>
  <c r="G16" i="3"/>
  <c r="G15" i="3"/>
  <c r="G13" i="3"/>
  <c r="G11" i="3"/>
  <c r="G10" i="3"/>
  <c r="G9" i="3"/>
  <c r="G8" i="3"/>
  <c r="G7" i="3"/>
  <c r="G6" i="3"/>
  <c r="G4" i="3"/>
</calcChain>
</file>

<file path=xl/sharedStrings.xml><?xml version="1.0" encoding="utf-8"?>
<sst xmlns="http://schemas.openxmlformats.org/spreadsheetml/2006/main" count="837" uniqueCount="495">
  <si>
    <t>公司名称</t>
  </si>
  <si>
    <t>规格</t>
  </si>
  <si>
    <t>谈判前价格中位值（元）</t>
    <phoneticPr fontId="6" type="noConversion"/>
  </si>
  <si>
    <t>西药</t>
  </si>
  <si>
    <t>玛巴洛沙韦片</t>
    <phoneticPr fontId="4" type="noConversion"/>
  </si>
  <si>
    <t>罗氏</t>
    <phoneticPr fontId="4" type="noConversion"/>
  </si>
  <si>
    <t>20mg</t>
    <phoneticPr fontId="4" type="noConversion"/>
  </si>
  <si>
    <t>艾诺韦林片</t>
    <phoneticPr fontId="4" type="noConversion"/>
  </si>
  <si>
    <t>艾迪药业</t>
  </si>
  <si>
    <t xml:space="preserve">75mg </t>
    <phoneticPr fontId="4" type="noConversion"/>
  </si>
  <si>
    <t>拉米夫定多替拉韦片</t>
    <phoneticPr fontId="4" type="noConversion"/>
  </si>
  <si>
    <t xml:space="preserve">ViiV </t>
    <phoneticPr fontId="4" type="noConversion"/>
  </si>
  <si>
    <t>拉米夫定300mg+多替拉韦钠50mg</t>
    <phoneticPr fontId="4" type="noConversion"/>
  </si>
  <si>
    <t>比克恩丙诺片</t>
    <phoneticPr fontId="4" type="noConversion"/>
  </si>
  <si>
    <t>吉利德</t>
    <phoneticPr fontId="4" type="noConversion"/>
  </si>
  <si>
    <t>比克替拉韦钠50mg,+恩曲他滨200mg,+富马酸丙酚替诺福韦25mg</t>
    <phoneticPr fontId="4" type="noConversion"/>
  </si>
  <si>
    <t>索磷维伏片</t>
    <phoneticPr fontId="4" type="noConversion"/>
  </si>
  <si>
    <t>400mg索磷布韦、100mg维帕他韦和100mg伏西瑞韦</t>
    <phoneticPr fontId="4" type="noConversion"/>
  </si>
  <si>
    <t>达诺瑞韦钠片</t>
    <phoneticPr fontId="4" type="noConversion"/>
  </si>
  <si>
    <t>歌礼药业</t>
    <phoneticPr fontId="4" type="noConversion"/>
  </si>
  <si>
    <t>100mg</t>
    <phoneticPr fontId="4" type="noConversion"/>
  </si>
  <si>
    <t>盐酸拉维达韦片</t>
    <phoneticPr fontId="4" type="noConversion"/>
  </si>
  <si>
    <t>歌礼生物</t>
    <phoneticPr fontId="4" type="noConversion"/>
  </si>
  <si>
    <t>0.2g</t>
    <phoneticPr fontId="4" type="noConversion"/>
  </si>
  <si>
    <t>磷酸依米他韦胶囊</t>
    <phoneticPr fontId="4" type="noConversion"/>
  </si>
  <si>
    <t>东阳光</t>
    <phoneticPr fontId="4" type="noConversion"/>
  </si>
  <si>
    <t>0.1g</t>
    <phoneticPr fontId="4" type="noConversion"/>
  </si>
  <si>
    <t>苯环喹溴铵鼻喷雾剂</t>
    <phoneticPr fontId="4" type="noConversion"/>
  </si>
  <si>
    <t>银谷制药</t>
    <phoneticPr fontId="4" type="noConversion"/>
  </si>
  <si>
    <t>5ml:5mg</t>
  </si>
  <si>
    <t>康替唑胺片</t>
    <phoneticPr fontId="4" type="noConversion"/>
  </si>
  <si>
    <t>盟科药业</t>
    <phoneticPr fontId="4" type="noConversion"/>
  </si>
  <si>
    <t>400mg</t>
    <phoneticPr fontId="4" type="noConversion"/>
  </si>
  <si>
    <t>苹果酸奈诺沙星氯化钠注射液</t>
    <phoneticPr fontId="4" type="noConversion"/>
  </si>
  <si>
    <t>浙江医药</t>
    <phoneticPr fontId="4" type="noConversion"/>
  </si>
  <si>
    <t xml:space="preserve">250ml:苹果酸奈诺沙星0.5g和氯化钠2.25g </t>
  </si>
  <si>
    <t>注射用两性霉素B胆固醇硫酸酯复合物</t>
    <phoneticPr fontId="4" type="noConversion"/>
  </si>
  <si>
    <t>石药欧意</t>
    <phoneticPr fontId="4" type="noConversion"/>
  </si>
  <si>
    <t>50mg</t>
    <phoneticPr fontId="4" type="noConversion"/>
  </si>
  <si>
    <t>注射用磷酸左奥硝唑酯二钠</t>
    <phoneticPr fontId="4" type="noConversion"/>
  </si>
  <si>
    <t>扬子江</t>
    <phoneticPr fontId="4" type="noConversion"/>
  </si>
  <si>
    <t>0.125g</t>
    <phoneticPr fontId="4" type="noConversion"/>
  </si>
  <si>
    <t>注射用全氟丙烷人血白蛋白微球</t>
    <phoneticPr fontId="4" type="noConversion"/>
  </si>
  <si>
    <t>力卓药业</t>
    <phoneticPr fontId="4" type="noConversion"/>
  </si>
  <si>
    <t>0.5g</t>
    <phoneticPr fontId="4" type="noConversion"/>
  </si>
  <si>
    <t>注射用全氟丁烷微球</t>
    <phoneticPr fontId="4" type="noConversion"/>
  </si>
  <si>
    <t>通用电气</t>
    <phoneticPr fontId="4" type="noConversion"/>
  </si>
  <si>
    <t xml:space="preserve">微球的体积为16μl </t>
    <phoneticPr fontId="4" type="noConversion"/>
  </si>
  <si>
    <t>环泊酚注射液</t>
    <phoneticPr fontId="4" type="noConversion"/>
  </si>
  <si>
    <t>海思科</t>
    <phoneticPr fontId="4" type="noConversion"/>
  </si>
  <si>
    <t>5ml:50mg</t>
  </si>
  <si>
    <t>注射用甲苯磺酸瑞马唑仑</t>
    <phoneticPr fontId="4" type="noConversion"/>
  </si>
  <si>
    <t>恒瑞医药</t>
    <phoneticPr fontId="4" type="noConversion"/>
  </si>
  <si>
    <t>36mg</t>
    <phoneticPr fontId="4" type="noConversion"/>
  </si>
  <si>
    <t>注射用苯磺酸瑞马唑仑</t>
    <phoneticPr fontId="4" type="noConversion"/>
  </si>
  <si>
    <t>人福药业</t>
    <phoneticPr fontId="4" type="noConversion"/>
  </si>
  <si>
    <t>25mg</t>
    <phoneticPr fontId="4" type="noConversion"/>
  </si>
  <si>
    <t>水合氯醛/糖浆组合包装</t>
    <phoneticPr fontId="4" type="noConversion"/>
  </si>
  <si>
    <t>特丰制药</t>
    <phoneticPr fontId="4" type="noConversion"/>
  </si>
  <si>
    <t>0.671g:0.5g</t>
  </si>
  <si>
    <t>司美格鲁肽注射液</t>
    <phoneticPr fontId="4" type="noConversion"/>
  </si>
  <si>
    <t>诺和诺德</t>
    <phoneticPr fontId="4" type="noConversion"/>
  </si>
  <si>
    <t>1.34mg/ml，1.5ml（预填充注射笔）</t>
    <phoneticPr fontId="4" type="noConversion"/>
  </si>
  <si>
    <t>二甲双胍恩格列净片（Ⅰ）</t>
    <phoneticPr fontId="4" type="noConversion"/>
  </si>
  <si>
    <t>中美华东</t>
    <phoneticPr fontId="4" type="noConversion"/>
  </si>
  <si>
    <t>二甲双胍500mg+恩格列净5mg</t>
    <phoneticPr fontId="4" type="noConversion"/>
  </si>
  <si>
    <t>艾米替诺福韦片</t>
    <phoneticPr fontId="4" type="noConversion"/>
  </si>
  <si>
    <t>豪森药业</t>
    <phoneticPr fontId="4" type="noConversion"/>
  </si>
  <si>
    <t>恩替卡韦口服溶液</t>
    <phoneticPr fontId="4" type="noConversion"/>
  </si>
  <si>
    <t xml:space="preserve">210ml:10.5mg </t>
  </si>
  <si>
    <t>人凝血因子Ⅸ</t>
    <phoneticPr fontId="4" type="noConversion"/>
  </si>
  <si>
    <t>泰邦生物</t>
    <phoneticPr fontId="4" type="noConversion"/>
  </si>
  <si>
    <t>500 IU/10 ml/瓶</t>
    <phoneticPr fontId="4" type="noConversion"/>
  </si>
  <si>
    <t>醋酸艾替班特注射液</t>
    <phoneticPr fontId="4" type="noConversion"/>
  </si>
  <si>
    <t>夏尔</t>
    <phoneticPr fontId="4" type="noConversion"/>
  </si>
  <si>
    <t>3ml: 30mg</t>
  </si>
  <si>
    <t>海曲泊帕乙醇胺片</t>
    <phoneticPr fontId="4" type="noConversion"/>
  </si>
  <si>
    <t>2.5mg</t>
    <phoneticPr fontId="4" type="noConversion"/>
  </si>
  <si>
    <t>甲苯磺酸多纳非尼片</t>
    <phoneticPr fontId="4" type="noConversion"/>
  </si>
  <si>
    <t>泽璟生物</t>
    <phoneticPr fontId="4" type="noConversion"/>
  </si>
  <si>
    <t>盐酸恩沙替尼胶囊</t>
    <phoneticPr fontId="4" type="noConversion"/>
  </si>
  <si>
    <t>贝达药业</t>
    <phoneticPr fontId="4" type="noConversion"/>
  </si>
  <si>
    <t>甲磺酸伏美替尼片</t>
    <phoneticPr fontId="4" type="noConversion"/>
  </si>
  <si>
    <t>艾力斯</t>
    <phoneticPr fontId="4" type="noConversion"/>
  </si>
  <si>
    <t>40mg</t>
    <phoneticPr fontId="4" type="noConversion"/>
  </si>
  <si>
    <t>达可替尼片</t>
    <phoneticPr fontId="4" type="noConversion"/>
  </si>
  <si>
    <t>辉瑞</t>
    <phoneticPr fontId="4" type="noConversion"/>
  </si>
  <si>
    <t>15mg</t>
    <phoneticPr fontId="4" type="noConversion"/>
  </si>
  <si>
    <t>奥布替尼片</t>
    <phoneticPr fontId="4" type="noConversion"/>
  </si>
  <si>
    <t>诺诚健华</t>
    <phoneticPr fontId="4" type="noConversion"/>
  </si>
  <si>
    <t>奥妥珠单抗注射液</t>
    <phoneticPr fontId="4" type="noConversion"/>
  </si>
  <si>
    <t>1000mg(40ml)</t>
    <phoneticPr fontId="4" type="noConversion"/>
  </si>
  <si>
    <t>阿齐沙坦片</t>
    <phoneticPr fontId="4" type="noConversion"/>
  </si>
  <si>
    <t>氨氯地平叶酸片（II）</t>
    <phoneticPr fontId="4" type="noConversion"/>
  </si>
  <si>
    <t>奥萨制药</t>
    <phoneticPr fontId="4" type="noConversion"/>
  </si>
  <si>
    <t>5mg苯磺酸氨氯地平+0.4mg叶酸</t>
    <phoneticPr fontId="4" type="noConversion"/>
  </si>
  <si>
    <t>氟唑帕利胶囊</t>
    <phoneticPr fontId="4" type="noConversion"/>
  </si>
  <si>
    <t>帕米帕利胶囊</t>
    <phoneticPr fontId="4" type="noConversion"/>
  </si>
  <si>
    <t>百济神州</t>
    <phoneticPr fontId="4" type="noConversion"/>
  </si>
  <si>
    <t>阿贝西利片</t>
    <phoneticPr fontId="4" type="noConversion"/>
  </si>
  <si>
    <t>礼来</t>
    <phoneticPr fontId="4" type="noConversion"/>
  </si>
  <si>
    <t>甲磺酸艾立布林注射液</t>
    <phoneticPr fontId="4" type="noConversion"/>
  </si>
  <si>
    <t>卫材</t>
    <phoneticPr fontId="4" type="noConversion"/>
  </si>
  <si>
    <t>2ml:1mg</t>
  </si>
  <si>
    <t>马来酸奈拉替尼片</t>
    <phoneticPr fontId="4" type="noConversion"/>
  </si>
  <si>
    <t>北海康成</t>
    <phoneticPr fontId="4" type="noConversion"/>
  </si>
  <si>
    <t>索凡替尼胶囊</t>
    <phoneticPr fontId="4" type="noConversion"/>
  </si>
  <si>
    <t>和记黄埔</t>
    <phoneticPr fontId="4" type="noConversion"/>
  </si>
  <si>
    <t xml:space="preserve">50mg </t>
    <phoneticPr fontId="4" type="noConversion"/>
  </si>
  <si>
    <t>达雷妥尤单抗注射液</t>
    <phoneticPr fontId="4" type="noConversion"/>
  </si>
  <si>
    <t>杨森</t>
    <phoneticPr fontId="4" type="noConversion"/>
  </si>
  <si>
    <t xml:space="preserve">100mg/5ml </t>
    <phoneticPr fontId="4" type="noConversion"/>
  </si>
  <si>
    <t>泊马度胺胶囊</t>
    <phoneticPr fontId="4" type="noConversion"/>
  </si>
  <si>
    <t>正大天晴</t>
    <phoneticPr fontId="4" type="noConversion"/>
  </si>
  <si>
    <t>1mg</t>
    <phoneticPr fontId="4" type="noConversion"/>
  </si>
  <si>
    <t>阿帕他胺片</t>
    <phoneticPr fontId="4" type="noConversion"/>
  </si>
  <si>
    <t>600mg</t>
    <phoneticPr fontId="4" type="noConversion"/>
  </si>
  <si>
    <t>达罗他胺片</t>
    <phoneticPr fontId="4" type="noConversion"/>
  </si>
  <si>
    <t>拜耳</t>
    <phoneticPr fontId="4" type="noConversion"/>
  </si>
  <si>
    <t>300mg</t>
    <phoneticPr fontId="4" type="noConversion"/>
  </si>
  <si>
    <t>注射用维迪西妥单抗</t>
    <phoneticPr fontId="4" type="noConversion"/>
  </si>
  <si>
    <t>荣昌生物</t>
    <phoneticPr fontId="4" type="noConversion"/>
  </si>
  <si>
    <t>60mg</t>
    <phoneticPr fontId="4" type="noConversion"/>
  </si>
  <si>
    <t>咪达唑仑口服溶液</t>
    <phoneticPr fontId="4" type="noConversion"/>
  </si>
  <si>
    <t>0.2％（10ml:20mg）</t>
  </si>
  <si>
    <t>诺西那生钠注射液</t>
    <phoneticPr fontId="4" type="noConversion"/>
  </si>
  <si>
    <t>渤健</t>
    <phoneticPr fontId="4" type="noConversion"/>
  </si>
  <si>
    <t>5ml:12mg</t>
  </si>
  <si>
    <t>氨吡啶缓释片</t>
    <phoneticPr fontId="4" type="noConversion"/>
  </si>
  <si>
    <t>10mg</t>
    <phoneticPr fontId="4" type="noConversion"/>
  </si>
  <si>
    <t>阿加糖酶α注射用浓溶液</t>
    <phoneticPr fontId="4" type="noConversion"/>
  </si>
  <si>
    <t>3.5mg</t>
    <phoneticPr fontId="4" type="noConversion"/>
  </si>
  <si>
    <t>甘露特钠胶囊</t>
    <phoneticPr fontId="4" type="noConversion"/>
  </si>
  <si>
    <t>绿谷</t>
    <phoneticPr fontId="4" type="noConversion"/>
  </si>
  <si>
    <t>150mg</t>
    <phoneticPr fontId="4" type="noConversion"/>
  </si>
  <si>
    <t>注射用利培酮微球（II）</t>
    <phoneticPr fontId="4" type="noConversion"/>
  </si>
  <si>
    <t>绿叶制药</t>
    <phoneticPr fontId="4" type="noConversion"/>
  </si>
  <si>
    <t xml:space="preserve">25mg </t>
    <phoneticPr fontId="4" type="noConversion"/>
  </si>
  <si>
    <t>注射用盐酸兰地洛尔</t>
    <phoneticPr fontId="4" type="noConversion"/>
  </si>
  <si>
    <t>海辰药业</t>
    <phoneticPr fontId="4" type="noConversion"/>
  </si>
  <si>
    <t>海博麦布片</t>
    <phoneticPr fontId="4" type="noConversion"/>
  </si>
  <si>
    <t>海正</t>
    <phoneticPr fontId="4" type="noConversion"/>
  </si>
  <si>
    <t>依洛尤单抗注射液</t>
    <phoneticPr fontId="4" type="noConversion"/>
  </si>
  <si>
    <t>安进</t>
    <phoneticPr fontId="4" type="noConversion"/>
  </si>
  <si>
    <t>阿利西尤单抗注射液</t>
    <phoneticPr fontId="4" type="noConversion"/>
  </si>
  <si>
    <t>赛诺菲</t>
    <phoneticPr fontId="4" type="noConversion"/>
  </si>
  <si>
    <t>1.0mL:75mg</t>
  </si>
  <si>
    <t>环硅酸锆钠散</t>
    <phoneticPr fontId="4" type="noConversion"/>
  </si>
  <si>
    <t>阿斯利康</t>
    <phoneticPr fontId="4" type="noConversion"/>
  </si>
  <si>
    <t>5g</t>
    <phoneticPr fontId="4" type="noConversion"/>
  </si>
  <si>
    <t>氯苯唑酸软胶囊</t>
    <phoneticPr fontId="4" type="noConversion"/>
  </si>
  <si>
    <t>61mg</t>
    <phoneticPr fontId="4" type="noConversion"/>
  </si>
  <si>
    <t>克霉唑阴道膨胀栓</t>
    <phoneticPr fontId="4" type="noConversion"/>
  </si>
  <si>
    <t>欧替药业</t>
    <phoneticPr fontId="4" type="noConversion"/>
  </si>
  <si>
    <t>0.15g</t>
    <phoneticPr fontId="4" type="noConversion"/>
  </si>
  <si>
    <t>环孢素滴眼液（Ⅱ）</t>
    <phoneticPr fontId="4" type="noConversion"/>
  </si>
  <si>
    <t>兴齐眼药</t>
    <phoneticPr fontId="4" type="noConversion"/>
  </si>
  <si>
    <t>0.4ml:0.2mg</t>
  </si>
  <si>
    <t>注射用泰它西普</t>
    <phoneticPr fontId="4" type="noConversion"/>
  </si>
  <si>
    <t xml:space="preserve">80mg </t>
    <phoneticPr fontId="4" type="noConversion"/>
  </si>
  <si>
    <t>乌司奴单抗注射液</t>
    <phoneticPr fontId="4" type="noConversion"/>
  </si>
  <si>
    <t xml:space="preserve">45mg/0.5ml </t>
    <phoneticPr fontId="4" type="noConversion"/>
  </si>
  <si>
    <t>乌司奴单抗注射液(静脉输注)</t>
    <phoneticPr fontId="4" type="noConversion"/>
  </si>
  <si>
    <t>130mg/26ml/瓶</t>
    <phoneticPr fontId="4" type="noConversion"/>
  </si>
  <si>
    <t>克立硼罗软膏</t>
    <phoneticPr fontId="4" type="noConversion"/>
  </si>
  <si>
    <t>依奇珠单抗注射液</t>
    <phoneticPr fontId="4" type="noConversion"/>
  </si>
  <si>
    <t xml:space="preserve">80mg/mL(自动注射器) </t>
    <phoneticPr fontId="4" type="noConversion"/>
  </si>
  <si>
    <t>中成药</t>
  </si>
  <si>
    <t>化湿败毒颗粒</t>
    <phoneticPr fontId="4" type="noConversion"/>
  </si>
  <si>
    <t>一方制药</t>
    <phoneticPr fontId="4" type="noConversion"/>
  </si>
  <si>
    <t>宣肺败毒颗粒</t>
    <phoneticPr fontId="4" type="noConversion"/>
  </si>
  <si>
    <t>步长制药</t>
    <phoneticPr fontId="4" type="noConversion"/>
  </si>
  <si>
    <t>每袋装10g相当于饮片119g</t>
    <phoneticPr fontId="4" type="noConversion"/>
  </si>
  <si>
    <t>关黄母颗粒</t>
    <phoneticPr fontId="4" type="noConversion"/>
  </si>
  <si>
    <t>万通药业</t>
    <phoneticPr fontId="4" type="noConversion"/>
  </si>
  <si>
    <t>9g</t>
    <phoneticPr fontId="4" type="noConversion"/>
  </si>
  <si>
    <t>2021年医保谈判品种信息</t>
    <phoneticPr fontId="4" type="noConversion"/>
  </si>
  <si>
    <t>#数据来源：医药魔方PharmaGo  
①谈判前后价格均为每片、支、粒等单位价格
②谈判前价格为各省份价格中位值，或存在部分偏差仅供参考
③*号为尚未公布药品医保支付标准价格</t>
    <phoneticPr fontId="4" type="noConversion"/>
  </si>
  <si>
    <t>序号</t>
    <phoneticPr fontId="4" type="noConversion"/>
  </si>
  <si>
    <t>药品名称</t>
    <phoneticPr fontId="4" type="noConversion"/>
  </si>
  <si>
    <t>2021年谈判价格（元）</t>
    <phoneticPr fontId="4" type="noConversion"/>
  </si>
  <si>
    <t>降幅</t>
    <phoneticPr fontId="4" type="noConversion"/>
  </si>
  <si>
    <t>*</t>
    <phoneticPr fontId="4" type="noConversion"/>
  </si>
  <si>
    <t>1.342g:1g</t>
    <phoneticPr fontId="4" type="noConversion"/>
  </si>
  <si>
    <t>1mL:140mg</t>
    <phoneticPr fontId="4" type="noConversion"/>
  </si>
  <si>
    <t>2021年医保谈判协议到期产品续约清单</t>
    <phoneticPr fontId="4" type="noConversion"/>
  </si>
  <si>
    <t>药品类别</t>
    <phoneticPr fontId="4" type="noConversion"/>
  </si>
  <si>
    <t>公司名称</t>
    <phoneticPr fontId="4" type="noConversion"/>
  </si>
  <si>
    <t>规格</t>
    <phoneticPr fontId="4" type="noConversion"/>
  </si>
  <si>
    <t>续约前医保支付
标准（元）</t>
    <phoneticPr fontId="4" type="noConversion"/>
  </si>
  <si>
    <t>2021年医保支付价格（元）</t>
    <phoneticPr fontId="4" type="noConversion"/>
  </si>
  <si>
    <t>阿柏西普眼内注射溶液</t>
    <phoneticPr fontId="4" type="noConversion"/>
  </si>
  <si>
    <t>拜耳</t>
  </si>
  <si>
    <t>40mg/ml</t>
  </si>
  <si>
    <t>阿利沙坦酯片</t>
    <phoneticPr fontId="4" type="noConversion"/>
  </si>
  <si>
    <t>信立泰</t>
    <phoneticPr fontId="2" type="noConversion"/>
  </si>
  <si>
    <t>80mg</t>
    <phoneticPr fontId="2" type="noConversion"/>
  </si>
  <si>
    <t>240mg</t>
    <phoneticPr fontId="2" type="noConversion"/>
  </si>
  <si>
    <t>艾尔巴韦格拉瑞韦片</t>
    <phoneticPr fontId="4" type="noConversion"/>
  </si>
  <si>
    <t>默沙东</t>
    <phoneticPr fontId="2" type="noConversion"/>
  </si>
  <si>
    <t>50mg+100mg</t>
  </si>
  <si>
    <t>艾考恩丙替片</t>
    <phoneticPr fontId="4" type="noConversion"/>
  </si>
  <si>
    <t>吉利德</t>
    <phoneticPr fontId="2" type="noConversion"/>
  </si>
  <si>
    <t>150mg/150mg/ 200mg/10mg</t>
    <phoneticPr fontId="2" type="noConversion"/>
  </si>
  <si>
    <t>艾塞那肽注射液</t>
    <phoneticPr fontId="4" type="noConversion"/>
  </si>
  <si>
    <t>阿斯利康</t>
    <phoneticPr fontId="2" type="noConversion"/>
  </si>
  <si>
    <t>5ug</t>
    <phoneticPr fontId="4" type="noConversion"/>
  </si>
  <si>
    <t>10ug</t>
    <phoneticPr fontId="4" type="noConversion"/>
  </si>
  <si>
    <t>波生坦片</t>
    <phoneticPr fontId="4" type="noConversion"/>
  </si>
  <si>
    <t>爱可泰隆</t>
  </si>
  <si>
    <t>125mg</t>
  </si>
  <si>
    <t>波生坦分散片</t>
    <phoneticPr fontId="4" type="noConversion"/>
  </si>
  <si>
    <t>32mg</t>
    <phoneticPr fontId="4" type="noConversion"/>
  </si>
  <si>
    <t>德拉马尼片</t>
    <phoneticPr fontId="4" type="noConversion"/>
  </si>
  <si>
    <t>Otsuka</t>
    <phoneticPr fontId="2" type="noConversion"/>
  </si>
  <si>
    <t>50mg</t>
  </si>
  <si>
    <t>地塞米松玻璃体内植入剂</t>
    <phoneticPr fontId="4" type="noConversion"/>
  </si>
  <si>
    <t>艾尔建</t>
    <phoneticPr fontId="2" type="noConversion"/>
  </si>
  <si>
    <t>0.7mg</t>
    <phoneticPr fontId="2" type="noConversion"/>
  </si>
  <si>
    <t>多种油脂肪乳注射液（C6-24）</t>
    <phoneticPr fontId="4" type="noConversion"/>
  </si>
  <si>
    <t>费森尤斯卡比</t>
    <phoneticPr fontId="2" type="noConversion"/>
  </si>
  <si>
    <t>100ml</t>
    <phoneticPr fontId="4" type="noConversion"/>
  </si>
  <si>
    <t>250ml</t>
    <phoneticPr fontId="4" type="noConversion"/>
  </si>
  <si>
    <t>呋喹替尼胶囊</t>
    <phoneticPr fontId="4" type="noConversion"/>
  </si>
  <si>
    <t>和黄医药</t>
    <phoneticPr fontId="4" type="noConversion"/>
  </si>
  <si>
    <t>1mg</t>
    <phoneticPr fontId="2" type="noConversion"/>
  </si>
  <si>
    <t>5mg</t>
    <phoneticPr fontId="2" type="noConversion"/>
  </si>
  <si>
    <t>复方氨基酸注射液（18AA-Ⅴ-SF）</t>
    <phoneticPr fontId="4" type="noConversion"/>
  </si>
  <si>
    <t>湖北一半天</t>
    <phoneticPr fontId="2" type="noConversion"/>
  </si>
  <si>
    <t>100ml</t>
    <phoneticPr fontId="2" type="noConversion"/>
  </si>
  <si>
    <t>250ml</t>
    <phoneticPr fontId="2" type="noConversion"/>
  </si>
  <si>
    <t>500ml</t>
    <phoneticPr fontId="2" type="noConversion"/>
  </si>
  <si>
    <t>富马酸贝达喹啉片</t>
    <phoneticPr fontId="4" type="noConversion"/>
  </si>
  <si>
    <t>强生</t>
    <phoneticPr fontId="2" type="noConversion"/>
  </si>
  <si>
    <t>100mg</t>
  </si>
  <si>
    <t>钆特醇注射液</t>
    <phoneticPr fontId="4" type="noConversion"/>
  </si>
  <si>
    <t xml:space="preserve">Bracco Imaging Italia S.R.L. </t>
    <phoneticPr fontId="2" type="noConversion"/>
  </si>
  <si>
    <t>10ml:2.793g</t>
    <phoneticPr fontId="2" type="noConversion"/>
  </si>
  <si>
    <t>15ml:4.1895g</t>
    <phoneticPr fontId="2" type="noConversion"/>
  </si>
  <si>
    <t>20ml:5.586g</t>
    <phoneticPr fontId="2" type="noConversion"/>
  </si>
  <si>
    <t>甘草酸单铵半胱氨酸氯化钠注射液</t>
    <phoneticPr fontId="4" type="noConversion"/>
  </si>
  <si>
    <t>弘和制药</t>
    <phoneticPr fontId="2" type="noConversion"/>
  </si>
  <si>
    <t xml:space="preserve">100ml </t>
    <phoneticPr fontId="2" type="noConversion"/>
  </si>
  <si>
    <t>250ml </t>
    <phoneticPr fontId="2" type="noConversion"/>
  </si>
  <si>
    <t>精氨酸谷氨酸注射液</t>
    <phoneticPr fontId="4" type="noConversion"/>
  </si>
  <si>
    <t>海思科</t>
    <phoneticPr fontId="2" type="noConversion"/>
  </si>
  <si>
    <t>200ml:20g</t>
    <phoneticPr fontId="2" type="noConversion"/>
  </si>
  <si>
    <t>康柏西普眼用注射液</t>
    <phoneticPr fontId="4" type="noConversion"/>
  </si>
  <si>
    <t>康弘生物</t>
    <phoneticPr fontId="2" type="noConversion"/>
  </si>
  <si>
    <t xml:space="preserve">0.2ml </t>
    <phoneticPr fontId="2" type="noConversion"/>
  </si>
  <si>
    <t>来迪派韦索磷布韦片</t>
    <phoneticPr fontId="4" type="noConversion"/>
  </si>
  <si>
    <t>90mg/400mg</t>
  </si>
  <si>
    <t>雷珠单抗注射液</t>
    <phoneticPr fontId="4" type="noConversion"/>
  </si>
  <si>
    <t>诺华</t>
    <phoneticPr fontId="2" type="noConversion"/>
  </si>
  <si>
    <t>10mg/ml,量0.20ml
10mg/ml,量0.165ml</t>
  </si>
  <si>
    <t>利奥西呱片</t>
    <phoneticPr fontId="4" type="noConversion"/>
  </si>
  <si>
    <t>拜耳</t>
    <phoneticPr fontId="2" type="noConversion"/>
  </si>
  <si>
    <t>0.5mg</t>
    <phoneticPr fontId="4" type="noConversion"/>
  </si>
  <si>
    <t>利多卡因凝胶贴膏</t>
    <phoneticPr fontId="4" type="noConversion"/>
  </si>
  <si>
    <t>北京泰德</t>
    <phoneticPr fontId="2" type="noConversion"/>
  </si>
  <si>
    <t>700mg</t>
  </si>
  <si>
    <t>利拉鲁肽注射液</t>
    <phoneticPr fontId="4" type="noConversion"/>
  </si>
  <si>
    <t>诺和诺德</t>
  </si>
  <si>
    <t>3ml:18mg</t>
    <phoneticPr fontId="4" type="noConversion"/>
  </si>
  <si>
    <t>利司那肽注射液</t>
    <phoneticPr fontId="4" type="noConversion"/>
  </si>
  <si>
    <t>赛诺菲</t>
    <phoneticPr fontId="2" type="noConversion"/>
  </si>
  <si>
    <t>10ug(0.2ml)</t>
    <phoneticPr fontId="4" type="noConversion"/>
  </si>
  <si>
    <t>20ug(0.2ml)</t>
    <phoneticPr fontId="4" type="noConversion"/>
  </si>
  <si>
    <t>磷酸芦可替尼片</t>
    <phoneticPr fontId="4" type="noConversion"/>
  </si>
  <si>
    <t>5mg</t>
  </si>
  <si>
    <t>硫培非格司亭注射液</t>
    <phoneticPr fontId="4" type="noConversion"/>
  </si>
  <si>
    <t>恒瑞</t>
  </si>
  <si>
    <t>0.6ml:6mg</t>
  </si>
  <si>
    <t>罗沙司他胶囊</t>
    <phoneticPr fontId="4" type="noConversion"/>
  </si>
  <si>
    <t>阿斯利康/珐博进</t>
  </si>
  <si>
    <t>马来酸吡咯替尼片</t>
    <phoneticPr fontId="4" type="noConversion"/>
  </si>
  <si>
    <t>恒瑞医药</t>
  </si>
  <si>
    <t>80mg</t>
    <phoneticPr fontId="4" type="noConversion"/>
  </si>
  <si>
    <t>160mg</t>
    <phoneticPr fontId="4" type="noConversion"/>
  </si>
  <si>
    <t>马昔腾坦片</t>
    <phoneticPr fontId="4" type="noConversion"/>
  </si>
  <si>
    <t>10mg</t>
  </si>
  <si>
    <t>吗啉硝唑氯化钠注射液</t>
    <phoneticPr fontId="4" type="noConversion"/>
  </si>
  <si>
    <t>豪森</t>
    <phoneticPr fontId="2" type="noConversion"/>
  </si>
  <si>
    <t>0.5g:100ml</t>
    <phoneticPr fontId="2" type="noConversion"/>
  </si>
  <si>
    <t>麦格司他胶囊</t>
    <phoneticPr fontId="4" type="noConversion"/>
  </si>
  <si>
    <t>西安杨森</t>
  </si>
  <si>
    <t>尼妥珠单抗注射液</t>
    <phoneticPr fontId="4" type="noConversion"/>
  </si>
  <si>
    <t>百泰生物</t>
  </si>
  <si>
    <t>苹果酸奈诺沙星胶囊</t>
    <phoneticPr fontId="4" type="noConversion"/>
  </si>
  <si>
    <t>浙江医药</t>
    <phoneticPr fontId="2" type="noConversion"/>
  </si>
  <si>
    <t>250mg</t>
    <phoneticPr fontId="2" type="noConversion"/>
  </si>
  <si>
    <t>泊沙康唑口服混悬液</t>
    <phoneticPr fontId="4" type="noConversion"/>
  </si>
  <si>
    <t>司来帕格片</t>
    <phoneticPr fontId="4" type="noConversion"/>
  </si>
  <si>
    <t>索磷布韦维帕他韦片</t>
    <phoneticPr fontId="4" type="noConversion"/>
  </si>
  <si>
    <t>400mg/100mg</t>
  </si>
  <si>
    <t>他氟前列素滴眼液</t>
    <phoneticPr fontId="4" type="noConversion"/>
  </si>
  <si>
    <t>参天制药</t>
  </si>
  <si>
    <t>2.5ml:37.5μg</t>
    <phoneticPr fontId="2" type="noConversion"/>
  </si>
  <si>
    <t>特立氟胺片</t>
    <phoneticPr fontId="4" type="noConversion"/>
  </si>
  <si>
    <t>赛诺菲</t>
  </si>
  <si>
    <t>14mg</t>
  </si>
  <si>
    <t>乌美溴铵维兰特罗吸入粉雾剂</t>
    <phoneticPr fontId="4" type="noConversion"/>
  </si>
  <si>
    <t>GSK</t>
    <phoneticPr fontId="2" type="noConversion"/>
  </si>
  <si>
    <t>(62.5μg/25μg)*30吸</t>
    <phoneticPr fontId="2" type="noConversion"/>
  </si>
  <si>
    <t>西达本胺片</t>
    <phoneticPr fontId="4" type="noConversion"/>
  </si>
  <si>
    <t>微芯生物</t>
    <phoneticPr fontId="2" type="noConversion"/>
  </si>
  <si>
    <t xml:space="preserve">5mg </t>
    <phoneticPr fontId="2" type="noConversion"/>
  </si>
  <si>
    <t>盐酸阿来替尼胶囊</t>
    <phoneticPr fontId="4" type="noConversion"/>
  </si>
  <si>
    <t>罗氏</t>
  </si>
  <si>
    <t>150mg</t>
  </si>
  <si>
    <t>依维莫司片</t>
    <phoneticPr fontId="4" type="noConversion"/>
  </si>
  <si>
    <t>5mg</t>
    <phoneticPr fontId="4" type="noConversion"/>
  </si>
  <si>
    <t>茚达特罗格隆溴铵吸入粉雾剂</t>
    <phoneticPr fontId="4" type="noConversion"/>
  </si>
  <si>
    <t>诺华</t>
  </si>
  <si>
    <t>110μg,50μg</t>
  </si>
  <si>
    <t>重组人血管内皮抑制素注射液</t>
    <phoneticPr fontId="4" type="noConversion"/>
  </si>
  <si>
    <t>先声麦得津</t>
    <phoneticPr fontId="4" type="noConversion"/>
  </si>
  <si>
    <t>15mg/3ml</t>
    <phoneticPr fontId="2" type="noConversion"/>
  </si>
  <si>
    <t>重组细胞因子基因衍生蛋白注射液</t>
    <phoneticPr fontId="4" type="noConversion"/>
  </si>
  <si>
    <t>杰华生物</t>
  </si>
  <si>
    <t xml:space="preserve">10μg/1.0ml/瓶 </t>
    <phoneticPr fontId="2" type="noConversion"/>
  </si>
  <si>
    <t>注射用艾普拉唑钠</t>
    <phoneticPr fontId="4" type="noConversion"/>
  </si>
  <si>
    <t>丽珠医药</t>
  </si>
  <si>
    <t xml:space="preserve">10mg </t>
    <phoneticPr fontId="2" type="noConversion"/>
  </si>
  <si>
    <t>注射用奥马珠单抗</t>
    <phoneticPr fontId="4" type="noConversion"/>
  </si>
  <si>
    <t>注射用英夫利西单抗</t>
    <phoneticPr fontId="4" type="noConversion"/>
  </si>
  <si>
    <t>杨森</t>
    <phoneticPr fontId="2" type="noConversion"/>
  </si>
  <si>
    <t>注射用尤瑞克林</t>
    <phoneticPr fontId="4" type="noConversion"/>
  </si>
  <si>
    <t>天普生</t>
    <phoneticPr fontId="2" type="noConversion"/>
  </si>
  <si>
    <t>0.15PNAIU</t>
  </si>
  <si>
    <t>注射用重组人脑利钠肽</t>
    <phoneticPr fontId="4" type="noConversion"/>
  </si>
  <si>
    <t>成都诺迪康</t>
    <phoneticPr fontId="2" type="noConversion"/>
  </si>
  <si>
    <t>0.5mg</t>
  </si>
  <si>
    <t>注射用重组人尿激酶原</t>
    <phoneticPr fontId="4" type="noConversion"/>
  </si>
  <si>
    <t>天士力</t>
    <phoneticPr fontId="2" type="noConversion"/>
  </si>
  <si>
    <t>注射用重组人凝血因子VIIa</t>
    <phoneticPr fontId="4" type="noConversion"/>
  </si>
  <si>
    <t>诺和诺德</t>
    <phoneticPr fontId="2" type="noConversion"/>
  </si>
  <si>
    <t>注射用重组人组织型纤溶酶原激酶衍生物</t>
    <phoneticPr fontId="4" type="noConversion"/>
  </si>
  <si>
    <t>华润昂德</t>
    <phoneticPr fontId="2" type="noConversion"/>
  </si>
  <si>
    <t>18mg/10ml</t>
    <phoneticPr fontId="2" type="noConversion"/>
  </si>
  <si>
    <t>八味芪龙颗粒</t>
    <phoneticPr fontId="4" type="noConversion"/>
  </si>
  <si>
    <t>重庆华森制药</t>
    <phoneticPr fontId="4" type="noConversion"/>
  </si>
  <si>
    <t>6g</t>
    <phoneticPr fontId="2" type="noConversion"/>
  </si>
  <si>
    <t>参乌益肾片</t>
    <phoneticPr fontId="4" type="noConversion"/>
  </si>
  <si>
    <t>康缘药业</t>
    <phoneticPr fontId="4" type="noConversion"/>
  </si>
  <si>
    <t xml:space="preserve">0.4g </t>
    <phoneticPr fontId="2" type="noConversion"/>
  </si>
  <si>
    <t>参一胶囊</t>
    <phoneticPr fontId="4" type="noConversion"/>
  </si>
  <si>
    <t>吉林亚泰</t>
    <phoneticPr fontId="2" type="noConversion"/>
  </si>
  <si>
    <t>每粒含人参皂苷
Rg3 10mg</t>
    <phoneticPr fontId="2" type="noConversion"/>
  </si>
  <si>
    <t>冬凌草滴丸</t>
    <phoneticPr fontId="4" type="noConversion"/>
  </si>
  <si>
    <t>河南百年康鑫药业</t>
    <phoneticPr fontId="2" type="noConversion"/>
  </si>
  <si>
    <t>40mg</t>
    <phoneticPr fontId="2" type="noConversion"/>
  </si>
  <si>
    <t>杜蛭丸</t>
    <phoneticPr fontId="4" type="noConversion"/>
  </si>
  <si>
    <t>吉林敖东延边药业</t>
    <phoneticPr fontId="4" type="noConversion"/>
  </si>
  <si>
    <t>5g/25粒</t>
    <phoneticPr fontId="2" type="noConversion"/>
  </si>
  <si>
    <t>复方黄黛片</t>
    <phoneticPr fontId="4" type="noConversion"/>
  </si>
  <si>
    <t>亿帆医药</t>
    <phoneticPr fontId="2" type="noConversion"/>
  </si>
  <si>
    <t>0.27g</t>
    <phoneticPr fontId="2" type="noConversion"/>
  </si>
  <si>
    <t>麻芩消咳颗粒</t>
    <phoneticPr fontId="4" type="noConversion"/>
  </si>
  <si>
    <t>亿帆医药</t>
    <phoneticPr fontId="4" type="noConversion"/>
  </si>
  <si>
    <t>8g</t>
    <phoneticPr fontId="2" type="noConversion"/>
  </si>
  <si>
    <t>脑心安胶囊</t>
    <phoneticPr fontId="4" type="noConversion"/>
  </si>
  <si>
    <t>吉林意达药业</t>
    <phoneticPr fontId="4" type="noConversion"/>
  </si>
  <si>
    <t>0.3g</t>
    <phoneticPr fontId="2" type="noConversion"/>
  </si>
  <si>
    <t>芪丹通络颗粒</t>
    <phoneticPr fontId="4" type="noConversion"/>
  </si>
  <si>
    <t>河北中唐医药</t>
    <phoneticPr fontId="2" type="noConversion"/>
  </si>
  <si>
    <t>芪黄颗粒</t>
    <phoneticPr fontId="4" type="noConversion"/>
  </si>
  <si>
    <t>药都制药</t>
    <phoneticPr fontId="4" type="noConversion"/>
  </si>
  <si>
    <t>5g</t>
    <phoneticPr fontId="2" type="noConversion"/>
  </si>
  <si>
    <t>芪黄通秘软胶囊</t>
    <phoneticPr fontId="4" type="noConversion"/>
  </si>
  <si>
    <t>神威药业</t>
    <phoneticPr fontId="2" type="noConversion"/>
  </si>
  <si>
    <t xml:space="preserve">0.5g </t>
    <phoneticPr fontId="2" type="noConversion"/>
  </si>
  <si>
    <t>芪芎通络胶囊</t>
    <phoneticPr fontId="4" type="noConversion"/>
  </si>
  <si>
    <t>吉林万通药业</t>
    <phoneticPr fontId="2" type="noConversion"/>
  </si>
  <si>
    <t>射麻口服液</t>
    <phoneticPr fontId="4" type="noConversion"/>
  </si>
  <si>
    <t>海南中盛合美</t>
    <phoneticPr fontId="4" type="noConversion"/>
  </si>
  <si>
    <t>食道平散</t>
    <phoneticPr fontId="4" type="noConversion"/>
  </si>
  <si>
    <t>陕西欧珂药业</t>
    <phoneticPr fontId="2" type="noConversion"/>
  </si>
  <si>
    <t>10g</t>
    <phoneticPr fontId="2" type="noConversion"/>
  </si>
  <si>
    <t>痰热清胶囊</t>
    <phoneticPr fontId="4" type="noConversion"/>
  </si>
  <si>
    <t>上海凯宝</t>
    <phoneticPr fontId="4" type="noConversion"/>
  </si>
  <si>
    <t>西红花总苷片</t>
    <phoneticPr fontId="4" type="noConversion"/>
  </si>
  <si>
    <t>瑞阳制药</t>
    <phoneticPr fontId="2" type="noConversion"/>
  </si>
  <si>
    <t>12mg</t>
    <phoneticPr fontId="2" type="noConversion"/>
  </si>
  <si>
    <t>血必净注射液</t>
    <phoneticPr fontId="4" type="noConversion"/>
  </si>
  <si>
    <t>天津红日药业</t>
    <phoneticPr fontId="2" type="noConversion"/>
  </si>
  <si>
    <t>10ml</t>
    <phoneticPr fontId="2" type="noConversion"/>
  </si>
  <si>
    <t>银杏二萜内酯葡胺注射液</t>
    <phoneticPr fontId="4" type="noConversion"/>
  </si>
  <si>
    <t>江苏康缘药业</t>
    <phoneticPr fontId="2" type="noConversion"/>
  </si>
  <si>
    <t>5ml</t>
    <phoneticPr fontId="2" type="noConversion"/>
  </si>
  <si>
    <t>银杏内酯注射液</t>
    <phoneticPr fontId="4" type="noConversion"/>
  </si>
  <si>
    <t>成都百裕制药</t>
    <phoneticPr fontId="2" type="noConversion"/>
  </si>
  <si>
    <t>2ml</t>
    <phoneticPr fontId="2" type="noConversion"/>
  </si>
  <si>
    <t>注射用丹参多酚酸</t>
    <phoneticPr fontId="4" type="noConversion"/>
  </si>
  <si>
    <t>0.13g</t>
    <phoneticPr fontId="2" type="noConversion"/>
  </si>
  <si>
    <t>注射用黄芪多糖</t>
    <phoneticPr fontId="4" type="noConversion"/>
  </si>
  <si>
    <t>天津赛诺制药</t>
    <phoneticPr fontId="2" type="noConversion"/>
  </si>
  <si>
    <t>注射用益气复脉（冻干）</t>
    <phoneticPr fontId="4" type="noConversion"/>
  </si>
  <si>
    <t>天士力</t>
    <phoneticPr fontId="4" type="noConversion"/>
  </si>
  <si>
    <t>0.65g</t>
    <phoneticPr fontId="2" type="noConversion"/>
  </si>
  <si>
    <t>2021年医保谈判协议期内新适应症谈判成功品种清单</t>
    <phoneticPr fontId="4" type="noConversion"/>
  </si>
  <si>
    <t>达格列净片</t>
    <phoneticPr fontId="4" type="noConversion"/>
  </si>
  <si>
    <t>阿斯利康</t>
  </si>
  <si>
    <t>甲苯磺酸尼拉帕利胶囊</t>
    <phoneticPr fontId="4" type="noConversion"/>
  </si>
  <si>
    <t>再鼎医药</t>
    <phoneticPr fontId="4" type="noConversion"/>
  </si>
  <si>
    <t>甲磺酸阿帕替尼片</t>
    <phoneticPr fontId="4" type="noConversion"/>
  </si>
  <si>
    <t>0.25g</t>
    <phoneticPr fontId="2" type="noConversion"/>
  </si>
  <si>
    <t>0.375g</t>
    <phoneticPr fontId="2" type="noConversion"/>
  </si>
  <si>
    <t>0.425g</t>
    <phoneticPr fontId="2" type="noConversion"/>
  </si>
  <si>
    <t>尼洛替尼胶囊</t>
    <phoneticPr fontId="4" type="noConversion"/>
  </si>
  <si>
    <t>帕妥珠单抗注射液</t>
    <phoneticPr fontId="4" type="noConversion"/>
  </si>
  <si>
    <t>420mg(14ml)</t>
  </si>
  <si>
    <t>沙库巴曲缬沙坦钠片</t>
    <phoneticPr fontId="4" type="noConversion"/>
  </si>
  <si>
    <t>100mg(49mg+51mg)</t>
  </si>
  <si>
    <t>特瑞普利单抗注射液</t>
    <phoneticPr fontId="4" type="noConversion"/>
  </si>
  <si>
    <t>君实生物</t>
    <phoneticPr fontId="4" type="noConversion"/>
  </si>
  <si>
    <t>80mg(2ml)</t>
    <phoneticPr fontId="4" type="noConversion"/>
  </si>
  <si>
    <t>240mg(6ml)</t>
    <phoneticPr fontId="4" type="noConversion"/>
  </si>
  <si>
    <t>替雷利珠单抗注射液</t>
    <phoneticPr fontId="4" type="noConversion"/>
  </si>
  <si>
    <t>10ml:100mg</t>
    <phoneticPr fontId="4" type="noConversion"/>
  </si>
  <si>
    <t>西妥昔单抗注射液</t>
    <phoneticPr fontId="4" type="noConversion"/>
  </si>
  <si>
    <t>默克</t>
  </si>
  <si>
    <t>100mg（20ml）</t>
    <phoneticPr fontId="4" type="noConversion"/>
  </si>
  <si>
    <t>信迪利单抗注射液</t>
    <phoneticPr fontId="4" type="noConversion"/>
  </si>
  <si>
    <t>信达生物</t>
  </si>
  <si>
    <t xml:space="preserve">10ml:100mg </t>
    <phoneticPr fontId="2" type="noConversion"/>
  </si>
  <si>
    <t>盐酸埃克替尼片</t>
    <phoneticPr fontId="4" type="noConversion"/>
  </si>
  <si>
    <t>125mg</t>
    <phoneticPr fontId="4" type="noConversion"/>
  </si>
  <si>
    <t>盐酸安罗替尼胶囊</t>
    <phoneticPr fontId="4" type="noConversion"/>
  </si>
  <si>
    <t>正大天晴</t>
  </si>
  <si>
    <t>12mg</t>
    <phoneticPr fontId="4" type="noConversion"/>
  </si>
  <si>
    <t>8mg</t>
    <phoneticPr fontId="4" type="noConversion"/>
  </si>
  <si>
    <t>泽布替尼胶囊</t>
    <phoneticPr fontId="4" type="noConversion"/>
  </si>
  <si>
    <t>注射用贝利尤单抗</t>
    <phoneticPr fontId="4" type="noConversion"/>
  </si>
  <si>
    <t>GSK</t>
    <phoneticPr fontId="4" type="noConversion"/>
  </si>
  <si>
    <t>120mg</t>
    <phoneticPr fontId="4" type="noConversion"/>
  </si>
  <si>
    <t>金花清感颗粒</t>
    <phoneticPr fontId="4" type="noConversion"/>
  </si>
  <si>
    <t>聚协昌(北京)药业</t>
    <phoneticPr fontId="4" type="noConversion"/>
  </si>
  <si>
    <t>2021年新版医保目录协议期内从谈判药品转到常规药品清单</t>
    <phoneticPr fontId="4" type="noConversion"/>
  </si>
  <si>
    <t>阿达木单抗</t>
  </si>
  <si>
    <t>雷替曲塞</t>
  </si>
  <si>
    <t>贝伐珠单抗</t>
  </si>
  <si>
    <t>帕罗西汀</t>
  </si>
  <si>
    <t>丙酚替诺福韦</t>
  </si>
  <si>
    <t>羟乙基淀粉130/0.4电解质</t>
    <phoneticPr fontId="4" type="noConversion"/>
  </si>
  <si>
    <t>地拉罗司</t>
  </si>
  <si>
    <t>曲妥珠单抗</t>
  </si>
  <si>
    <t>厄洛替尼</t>
  </si>
  <si>
    <t>司维拉姆</t>
  </si>
  <si>
    <t>恩格列净</t>
  </si>
  <si>
    <t>索拉非尼</t>
    <phoneticPr fontId="4" type="noConversion"/>
  </si>
  <si>
    <t>卡格列净</t>
  </si>
  <si>
    <t>碳酸镧</t>
  </si>
  <si>
    <t>喹硫平</t>
  </si>
  <si>
    <t>托法替布</t>
  </si>
  <si>
    <t>2021年新版医保目录剔除11个品种清单</t>
    <phoneticPr fontId="4" type="noConversion"/>
  </si>
  <si>
    <t>去氢胆酸</t>
    <phoneticPr fontId="4" type="noConversion"/>
  </si>
  <si>
    <t>噻奈普汀</t>
  </si>
  <si>
    <t>林可霉素（软膏剂）</t>
    <phoneticPr fontId="4" type="noConversion"/>
  </si>
  <si>
    <t>克仑特罗栓剂</t>
    <phoneticPr fontId="4" type="noConversion"/>
  </si>
  <si>
    <t>阿米洛利</t>
  </si>
  <si>
    <t>参蛇花痔疮膏</t>
  </si>
  <si>
    <t>恩夫韦肽注射液</t>
    <phoneticPr fontId="4" type="noConversion"/>
  </si>
  <si>
    <t>乙肝益气解郁颗粒</t>
  </si>
  <si>
    <t>甲异靛</t>
  </si>
  <si>
    <t>乙肝养阴活血颗粒</t>
  </si>
  <si>
    <t>吗氯贝胺</t>
  </si>
  <si>
    <t>2021年新适应症药品谈判未成功纳入清单</t>
    <phoneticPr fontId="4" type="noConversion"/>
  </si>
  <si>
    <t>目前医保支付
标准（元）</t>
    <phoneticPr fontId="4" type="noConversion"/>
  </si>
  <si>
    <t>奥拉帕利片</t>
    <phoneticPr fontId="4" type="noConversion"/>
  </si>
  <si>
    <t>地舒单抗注射液</t>
    <phoneticPr fontId="4" type="noConversion"/>
  </si>
  <si>
    <t>120mg(1.7mL)</t>
    <phoneticPr fontId="4" type="noConversion"/>
  </si>
  <si>
    <t>甲磺酸奥希替尼片</t>
    <phoneticPr fontId="4" type="noConversion"/>
  </si>
  <si>
    <t>80mg/片</t>
  </si>
  <si>
    <t>米非司酮片</t>
    <phoneticPr fontId="4" type="noConversion"/>
  </si>
  <si>
    <t>紫竹药业</t>
    <phoneticPr fontId="4" type="noConversion"/>
  </si>
  <si>
    <t>盐酸哌甲酯缓释片</t>
    <phoneticPr fontId="4" type="noConversion"/>
  </si>
  <si>
    <t>18mg</t>
    <phoneticPr fontId="2" type="noConversion"/>
  </si>
  <si>
    <t>注射用卡瑞利珠单抗</t>
    <phoneticPr fontId="4" type="noConversion"/>
  </si>
  <si>
    <t>200mg</t>
    <phoneticPr fontId="4" type="noConversion"/>
  </si>
  <si>
    <t>唑来膦酸注射液</t>
    <phoneticPr fontId="4" type="noConversion"/>
  </si>
  <si>
    <t>诺华</t>
    <phoneticPr fontId="4" type="noConversion"/>
  </si>
  <si>
    <t>100ml:5mg</t>
    <phoneticPr fontId="4" type="noConversion"/>
  </si>
  <si>
    <t>10ml:10mg</t>
    <phoneticPr fontId="4" type="noConversion"/>
  </si>
  <si>
    <t>1.34mg/ml，3ml（预填充注射笔）</t>
    <phoneticPr fontId="4" type="noConversion"/>
  </si>
  <si>
    <t>3.75mg</t>
    <phoneticPr fontId="4" type="noConversion"/>
  </si>
  <si>
    <t>4mg</t>
    <phoneticPr fontId="4" type="noConversion"/>
  </si>
  <si>
    <t xml:space="preserve">37.5mg </t>
    <phoneticPr fontId="4" type="noConversion"/>
  </si>
  <si>
    <t>10g</t>
    <phoneticPr fontId="4" type="noConversion"/>
  </si>
  <si>
    <t xml:space="preserve">90mg/1ml </t>
    <phoneticPr fontId="4" type="noConversion"/>
  </si>
  <si>
    <t>0.2mg</t>
    <phoneticPr fontId="4" type="noConversion"/>
  </si>
  <si>
    <t>2mg</t>
    <phoneticPr fontId="4" type="noConversion"/>
  </si>
  <si>
    <t>200mg</t>
    <phoneticPr fontId="6" type="noConversion"/>
  </si>
  <si>
    <t>50mg(24mg+26mg)</t>
    <phoneticPr fontId="4" type="noConversion"/>
  </si>
  <si>
    <t>200mg(97mg+103mg)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</si>
</sst>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scheme val="minor"/>
    </font>
    <font>
      <sz val="10"/>
      <color rgb="FF000000"/>
      <name val="Times New Roman"/>
      <family val="1"/>
    </font>
    <font>
      <sz val="9"/>
      <name val="等线"/>
      <family val="3"/>
      <charset val="134"/>
      <scheme val="minor"/>
    </font>
    <font>
      <b/>
      <sz val="10"/>
      <name val="微软雅黑"/>
      <family val="2"/>
      <charset val="134"/>
    </font>
    <font>
      <sz val="9"/>
      <name val="宋体"/>
      <family val="3"/>
      <charset val="134"/>
    </font>
    <font>
      <b/>
      <sz val="10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222222"/>
      <name val="微软雅黑"/>
      <family val="2"/>
      <charset val="134"/>
    </font>
    <font>
      <sz val="10"/>
      <color rgb="FF000000"/>
      <name val="Times New Roman"/>
      <family val="1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Arial"/>
      <family val="2"/>
    </font>
    <font>
      <sz val="10"/>
      <color theme="9" tint="-0.249977111117893"/>
      <name val="微软雅黑"/>
      <family val="2"/>
      <charset val="134"/>
    </font>
    <font>
      <sz val="10"/>
      <color rgb="FF00B05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0" fontId="13" fillId="0" borderId="0">
      <alignment vertical="center"/>
    </xf>
  </cellStyleXfs>
  <cellXfs count="44">
    <xf numFmtId="0" fontId="0" fillId="0" borderId="0" xfId="0"/>
    <xf numFmtId="0" fontId="1" fillId="0" borderId="0" xfId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  <xf numFmtId="0" fontId="10" fillId="0" borderId="0" xfId="2" applyAlignment="1">
      <alignment horizontal="left" vertical="top"/>
    </xf>
    <xf numFmtId="0" fontId="10" fillId="0" borderId="0" xfId="2" applyAlignment="1">
      <alignment horizontal="left" vertical="center"/>
    </xf>
    <xf numFmtId="0" fontId="10" fillId="0" borderId="0" xfId="2" applyAlignment="1">
      <alignment horizontal="left" vertical="top" wrapText="1"/>
    </xf>
    <xf numFmtId="0" fontId="10" fillId="0" borderId="0" xfId="2" applyAlignment="1">
      <alignment horizontal="center" vertical="top" wrapText="1"/>
    </xf>
    <xf numFmtId="10" fontId="10" fillId="0" borderId="0" xfId="2" applyNumberFormat="1" applyAlignment="1">
      <alignment horizontal="center" vertical="top" wrapText="1"/>
    </xf>
    <xf numFmtId="0" fontId="11" fillId="4" borderId="0" xfId="1" applyFont="1" applyFill="1" applyAlignment="1">
      <alignment horizontal="left" vertical="center"/>
    </xf>
    <xf numFmtId="0" fontId="11" fillId="4" borderId="0" xfId="1" applyFont="1" applyFill="1" applyAlignment="1">
      <alignment horizontal="center" vertical="center" wrapText="1"/>
    </xf>
    <xf numFmtId="0" fontId="12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8" fillId="0" borderId="0" xfId="3" applyFont="1" applyAlignment="1">
      <alignment horizontal="left" vertical="center"/>
    </xf>
    <xf numFmtId="0" fontId="8" fillId="0" borderId="0" xfId="3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4" borderId="0" xfId="1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center" vertical="center" wrapText="1"/>
    </xf>
    <xf numFmtId="10" fontId="11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9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 shrinkToFit="1"/>
    </xf>
    <xf numFmtId="0" fontId="12" fillId="0" borderId="0" xfId="0" applyFont="1" applyAlignment="1">
      <alignment horizontal="left" vertical="center" wrapText="1"/>
    </xf>
    <xf numFmtId="10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</cellXfs>
  <cellStyles count="4">
    <cellStyle name="常规" xfId="0" builtinId="0"/>
    <cellStyle name="常规 2" xfId="1" xr:uid="{0EB01EB1-754E-4C01-A9C1-C51B410C3088}"/>
    <cellStyle name="常规 2 2" xfId="3" xr:uid="{26EC45FC-8A5E-4896-ACB8-B0E47C9D9639}"/>
    <cellStyle name="常规 3" xfId="2" xr:uid="{4C07609E-F3B8-4E4B-A715-31CDB67768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390525</xdr:colOff>
      <xdr:row>1</xdr:row>
      <xdr:rowOff>0</xdr:rowOff>
    </xdr:from>
    <xdr:to>
      <xdr:col>6</xdr:col>
      <xdr:colOff>684651</xdr:colOff>
      <xdr:row>1</xdr:row>
      <xdr:rowOff>932434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81548A9-10B6-4F91-B1FF-650DFA3D3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314325"/>
          <a:ext cx="2046726" cy="9324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92</xdr:row>
      <xdr:rowOff>266700</xdr:rowOff>
    </xdr:from>
    <xdr:to>
      <xdr:col>7</xdr:col>
      <xdr:colOff>360801</xdr:colOff>
      <xdr:row>94</xdr:row>
      <xdr:rowOff>46609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ACFD955-B396-4958-BF58-415E2B4C1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26584275"/>
          <a:ext cx="2046726" cy="932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9F5D-D083-4F63-93C2-96E09DDFA75B}">
  <dimension ref="A1:G86"/>
  <sheetViews>
    <sheetView tabSelected="1" topLeftCell="A38" workbookViewId="0">
      <selection activeCell="M52" sqref="M52"/>
    </sheetView>
  </sheetViews>
  <sheetFormatPr defaultRowHeight="12.75"/>
  <cols>
    <col min="1" max="1" width="4" style="6" customWidth="1"/>
    <col min="2" max="2" width="28.5" style="5" customWidth="1"/>
    <col min="3" max="3" width="9.875" style="5" customWidth="1"/>
    <col min="4" max="4" width="21.375" style="5" customWidth="1"/>
    <col min="5" max="5" width="11.25" style="7" customWidth="1"/>
    <col min="6" max="6" width="11.75" style="8" customWidth="1"/>
    <col min="7" max="7" width="11.75" style="9" customWidth="1"/>
    <col min="8" max="16384" width="9" style="5"/>
  </cols>
  <sheetData>
    <row r="1" spans="1:7" ht="24.75" customHeight="1">
      <c r="A1" s="40" t="s">
        <v>176</v>
      </c>
      <c r="B1" s="40"/>
      <c r="C1" s="40"/>
      <c r="D1" s="40"/>
      <c r="E1" s="40"/>
      <c r="F1" s="40"/>
      <c r="G1" s="40"/>
    </row>
    <row r="2" spans="1:7" ht="75.75" customHeight="1">
      <c r="A2" s="41" t="s">
        <v>177</v>
      </c>
      <c r="B2" s="41"/>
      <c r="C2" s="41"/>
      <c r="D2" s="41"/>
      <c r="E2" s="41"/>
      <c r="F2" s="41"/>
      <c r="G2" s="41"/>
    </row>
    <row r="3" spans="1:7" ht="30.75" customHeight="1">
      <c r="A3" s="19" t="s">
        <v>178</v>
      </c>
      <c r="B3" s="19" t="s">
        <v>179</v>
      </c>
      <c r="C3" s="19" t="s">
        <v>0</v>
      </c>
      <c r="D3" s="19" t="s">
        <v>1</v>
      </c>
      <c r="E3" s="20" t="s">
        <v>2</v>
      </c>
      <c r="F3" s="21" t="s">
        <v>180</v>
      </c>
      <c r="G3" s="22" t="s">
        <v>181</v>
      </c>
    </row>
    <row r="4" spans="1:7" ht="23.1" customHeight="1">
      <c r="A4" s="23">
        <v>1</v>
      </c>
      <c r="B4" s="24" t="s">
        <v>4</v>
      </c>
      <c r="C4" s="25" t="s">
        <v>5</v>
      </c>
      <c r="D4" s="25" t="s">
        <v>6</v>
      </c>
      <c r="E4" s="25">
        <v>249</v>
      </c>
      <c r="F4" s="26">
        <v>111.18</v>
      </c>
      <c r="G4" s="27">
        <f t="shared" ref="G4:G78" si="0">(E4-F4)/E4</f>
        <v>0.55349397590361438</v>
      </c>
    </row>
    <row r="5" spans="1:7" ht="23.1" customHeight="1">
      <c r="A5" s="23">
        <v>1</v>
      </c>
      <c r="B5" s="24" t="s">
        <v>4</v>
      </c>
      <c r="C5" s="25" t="s">
        <v>5</v>
      </c>
      <c r="D5" s="25" t="s">
        <v>84</v>
      </c>
      <c r="E5" s="25"/>
      <c r="F5" s="26">
        <v>189</v>
      </c>
      <c r="G5" s="27"/>
    </row>
    <row r="6" spans="1:7" ht="37.5" customHeight="1">
      <c r="A6" s="23">
        <v>2</v>
      </c>
      <c r="B6" s="24" t="s">
        <v>7</v>
      </c>
      <c r="C6" s="28" t="s">
        <v>8</v>
      </c>
      <c r="D6" s="24" t="s">
        <v>9</v>
      </c>
      <c r="E6" s="24">
        <v>19.670000000000002</v>
      </c>
      <c r="F6" s="29">
        <v>8.58</v>
      </c>
      <c r="G6" s="27">
        <f t="shared" si="0"/>
        <v>0.56380274529740726</v>
      </c>
    </row>
    <row r="7" spans="1:7" ht="51.75" customHeight="1">
      <c r="A7" s="23">
        <v>3</v>
      </c>
      <c r="B7" s="24" t="s">
        <v>10</v>
      </c>
      <c r="C7" s="25" t="s">
        <v>11</v>
      </c>
      <c r="D7" s="30" t="s">
        <v>12</v>
      </c>
      <c r="E7" s="25">
        <v>62.67</v>
      </c>
      <c r="F7" s="26">
        <v>29.5</v>
      </c>
      <c r="G7" s="27">
        <f t="shared" si="0"/>
        <v>0.52928035742779644</v>
      </c>
    </row>
    <row r="8" spans="1:7" ht="37.5" customHeight="1">
      <c r="A8" s="23">
        <v>4</v>
      </c>
      <c r="B8" s="24" t="s">
        <v>13</v>
      </c>
      <c r="C8" s="25" t="s">
        <v>14</v>
      </c>
      <c r="D8" s="30" t="s">
        <v>15</v>
      </c>
      <c r="E8" s="25">
        <v>122.67</v>
      </c>
      <c r="F8" s="26">
        <v>37.5</v>
      </c>
      <c r="G8" s="27">
        <f t="shared" si="0"/>
        <v>0.69430178527757402</v>
      </c>
    </row>
    <row r="9" spans="1:7" ht="23.1" customHeight="1">
      <c r="A9" s="23">
        <v>5</v>
      </c>
      <c r="B9" s="24" t="s">
        <v>16</v>
      </c>
      <c r="C9" s="25" t="s">
        <v>14</v>
      </c>
      <c r="D9" s="30" t="s">
        <v>17</v>
      </c>
      <c r="E9" s="25">
        <v>1178.5</v>
      </c>
      <c r="F9" s="26">
        <v>259</v>
      </c>
      <c r="G9" s="27">
        <f t="shared" si="0"/>
        <v>0.78022910479422991</v>
      </c>
    </row>
    <row r="10" spans="1:7" ht="23.1" customHeight="1">
      <c r="A10" s="23">
        <v>6</v>
      </c>
      <c r="B10" s="24" t="s">
        <v>18</v>
      </c>
      <c r="C10" s="25" t="s">
        <v>19</v>
      </c>
      <c r="D10" s="25" t="s">
        <v>20</v>
      </c>
      <c r="E10" s="25">
        <v>238.07</v>
      </c>
      <c r="F10" s="26">
        <v>8.3000000000000007</v>
      </c>
      <c r="G10" s="27">
        <f t="shared" si="0"/>
        <v>0.96513630444827148</v>
      </c>
    </row>
    <row r="11" spans="1:7" ht="23.1" customHeight="1">
      <c r="A11" s="23">
        <v>7</v>
      </c>
      <c r="B11" s="24" t="s">
        <v>21</v>
      </c>
      <c r="C11" s="25" t="s">
        <v>22</v>
      </c>
      <c r="D11" s="25" t="s">
        <v>23</v>
      </c>
      <c r="E11" s="25">
        <v>108</v>
      </c>
      <c r="F11" s="26">
        <v>51.12</v>
      </c>
      <c r="G11" s="27">
        <f t="shared" si="0"/>
        <v>0.52666666666666673</v>
      </c>
    </row>
    <row r="12" spans="1:7" ht="23.1" customHeight="1">
      <c r="A12" s="23">
        <v>8</v>
      </c>
      <c r="B12" s="24" t="s">
        <v>24</v>
      </c>
      <c r="C12" s="25" t="s">
        <v>25</v>
      </c>
      <c r="D12" s="25" t="s">
        <v>26</v>
      </c>
      <c r="E12" s="25"/>
      <c r="F12" s="26">
        <v>62</v>
      </c>
      <c r="G12" s="27"/>
    </row>
    <row r="13" spans="1:7" ht="23.1" customHeight="1">
      <c r="A13" s="23">
        <v>9</v>
      </c>
      <c r="B13" s="24" t="s">
        <v>27</v>
      </c>
      <c r="C13" s="25" t="s">
        <v>28</v>
      </c>
      <c r="D13" s="25" t="s">
        <v>29</v>
      </c>
      <c r="E13" s="25">
        <v>199.67</v>
      </c>
      <c r="F13" s="26">
        <v>24.31</v>
      </c>
      <c r="G13" s="27">
        <f t="shared" si="0"/>
        <v>0.8782491110332048</v>
      </c>
    </row>
    <row r="14" spans="1:7" ht="36" customHeight="1">
      <c r="A14" s="23">
        <v>9</v>
      </c>
      <c r="B14" s="24" t="s">
        <v>27</v>
      </c>
      <c r="C14" s="25" t="s">
        <v>28</v>
      </c>
      <c r="D14" s="25" t="s">
        <v>483</v>
      </c>
      <c r="E14" s="25"/>
      <c r="F14" s="26">
        <v>41.33</v>
      </c>
      <c r="G14" s="27"/>
    </row>
    <row r="15" spans="1:7" ht="23.1" customHeight="1">
      <c r="A15" s="23">
        <v>10</v>
      </c>
      <c r="B15" s="24" t="s">
        <v>30</v>
      </c>
      <c r="C15" s="25" t="s">
        <v>31</v>
      </c>
      <c r="D15" s="25" t="s">
        <v>32</v>
      </c>
      <c r="E15" s="25">
        <v>325</v>
      </c>
      <c r="F15" s="26">
        <v>118</v>
      </c>
      <c r="G15" s="27">
        <f t="shared" si="0"/>
        <v>0.63692307692307693</v>
      </c>
    </row>
    <row r="16" spans="1:7" ht="23.1" customHeight="1">
      <c r="A16" s="23">
        <v>11</v>
      </c>
      <c r="B16" s="24" t="s">
        <v>33</v>
      </c>
      <c r="C16" s="25" t="s">
        <v>34</v>
      </c>
      <c r="D16" s="30" t="s">
        <v>35</v>
      </c>
      <c r="E16" s="25">
        <v>520</v>
      </c>
      <c r="F16" s="26">
        <v>84.8</v>
      </c>
      <c r="G16" s="27">
        <f t="shared" si="0"/>
        <v>0.83692307692307688</v>
      </c>
    </row>
    <row r="17" spans="1:7" ht="23.1" customHeight="1">
      <c r="A17" s="23">
        <v>12</v>
      </c>
      <c r="B17" s="24" t="s">
        <v>36</v>
      </c>
      <c r="C17" s="25" t="s">
        <v>37</v>
      </c>
      <c r="D17" s="25" t="s">
        <v>38</v>
      </c>
      <c r="E17" s="25">
        <v>1980</v>
      </c>
      <c r="F17" s="26">
        <v>396</v>
      </c>
      <c r="G17" s="27">
        <f t="shared" si="0"/>
        <v>0.8</v>
      </c>
    </row>
    <row r="18" spans="1:7" ht="23.1" customHeight="1">
      <c r="A18" s="23">
        <v>13</v>
      </c>
      <c r="B18" s="24" t="s">
        <v>39</v>
      </c>
      <c r="C18" s="25" t="s">
        <v>40</v>
      </c>
      <c r="D18" s="25" t="s">
        <v>41</v>
      </c>
      <c r="E18" s="25">
        <v>58</v>
      </c>
      <c r="F18" s="26">
        <v>25.18</v>
      </c>
      <c r="G18" s="27">
        <f t="shared" si="0"/>
        <v>0.56586206896551727</v>
      </c>
    </row>
    <row r="19" spans="1:7" ht="23.1" customHeight="1">
      <c r="A19" s="23">
        <v>14</v>
      </c>
      <c r="B19" s="24" t="s">
        <v>42</v>
      </c>
      <c r="C19" s="25" t="s">
        <v>43</v>
      </c>
      <c r="D19" s="25" t="s">
        <v>44</v>
      </c>
      <c r="E19" s="25">
        <v>1160</v>
      </c>
      <c r="F19" s="26">
        <v>558</v>
      </c>
      <c r="G19" s="27">
        <f t="shared" si="0"/>
        <v>0.51896551724137929</v>
      </c>
    </row>
    <row r="20" spans="1:7" ht="23.1" customHeight="1">
      <c r="A20" s="23">
        <v>15</v>
      </c>
      <c r="B20" s="24" t="s">
        <v>45</v>
      </c>
      <c r="C20" s="25" t="s">
        <v>46</v>
      </c>
      <c r="D20" s="25" t="s">
        <v>47</v>
      </c>
      <c r="E20" s="25">
        <v>998</v>
      </c>
      <c r="F20" s="26">
        <v>511</v>
      </c>
      <c r="G20" s="27">
        <f t="shared" si="0"/>
        <v>0.4879759519038076</v>
      </c>
    </row>
    <row r="21" spans="1:7" ht="23.1" customHeight="1">
      <c r="A21" s="23">
        <v>16</v>
      </c>
      <c r="B21" s="24" t="s">
        <v>48</v>
      </c>
      <c r="C21" s="25" t="s">
        <v>49</v>
      </c>
      <c r="D21" s="25" t="s">
        <v>50</v>
      </c>
      <c r="E21" s="25">
        <v>285.95</v>
      </c>
      <c r="F21" s="26">
        <v>106</v>
      </c>
      <c r="G21" s="27">
        <f t="shared" si="0"/>
        <v>0.62930582269627555</v>
      </c>
    </row>
    <row r="22" spans="1:7" ht="23.1" customHeight="1">
      <c r="A22" s="23">
        <v>17</v>
      </c>
      <c r="B22" s="24" t="s">
        <v>51</v>
      </c>
      <c r="C22" s="25" t="s">
        <v>52</v>
      </c>
      <c r="D22" s="25" t="s">
        <v>53</v>
      </c>
      <c r="E22" s="25">
        <v>266</v>
      </c>
      <c r="F22" s="26">
        <v>69.8</v>
      </c>
      <c r="G22" s="27">
        <f t="shared" si="0"/>
        <v>0.73759398496240602</v>
      </c>
    </row>
    <row r="23" spans="1:7" ht="23.1" customHeight="1">
      <c r="A23" s="23">
        <v>18</v>
      </c>
      <c r="B23" s="24" t="s">
        <v>54</v>
      </c>
      <c r="C23" s="25" t="s">
        <v>55</v>
      </c>
      <c r="D23" s="25" t="s">
        <v>56</v>
      </c>
      <c r="E23" s="25"/>
      <c r="F23" s="26">
        <v>52.8</v>
      </c>
      <c r="G23" s="27"/>
    </row>
    <row r="24" spans="1:7" ht="33.75" customHeight="1">
      <c r="A24" s="23">
        <v>19</v>
      </c>
      <c r="B24" s="24" t="s">
        <v>57</v>
      </c>
      <c r="C24" s="25" t="s">
        <v>58</v>
      </c>
      <c r="D24" s="25" t="s">
        <v>59</v>
      </c>
      <c r="E24" s="25"/>
      <c r="F24" s="26">
        <v>25.11</v>
      </c>
      <c r="G24" s="27"/>
    </row>
    <row r="25" spans="1:7" ht="33.75" customHeight="1">
      <c r="A25" s="23">
        <v>19</v>
      </c>
      <c r="B25" s="24" t="s">
        <v>57</v>
      </c>
      <c r="C25" s="25" t="s">
        <v>58</v>
      </c>
      <c r="D25" s="25" t="s">
        <v>183</v>
      </c>
      <c r="E25" s="25"/>
      <c r="F25" s="26">
        <v>42.68</v>
      </c>
      <c r="G25" s="27"/>
    </row>
    <row r="26" spans="1:7" ht="23.1" customHeight="1">
      <c r="A26" s="23">
        <v>20</v>
      </c>
      <c r="B26" s="24" t="s">
        <v>60</v>
      </c>
      <c r="C26" s="25" t="s">
        <v>61</v>
      </c>
      <c r="D26" s="30" t="s">
        <v>62</v>
      </c>
      <c r="E26" s="28">
        <v>1120</v>
      </c>
      <c r="F26" s="26">
        <v>478.8</v>
      </c>
      <c r="G26" s="27">
        <f t="shared" si="0"/>
        <v>0.57250000000000001</v>
      </c>
    </row>
    <row r="27" spans="1:7" ht="23.1" customHeight="1">
      <c r="A27" s="23">
        <v>20</v>
      </c>
      <c r="B27" s="24" t="s">
        <v>60</v>
      </c>
      <c r="C27" s="25" t="s">
        <v>61</v>
      </c>
      <c r="D27" s="30" t="s">
        <v>484</v>
      </c>
      <c r="E27" s="28"/>
      <c r="F27" s="26">
        <v>813.96</v>
      </c>
      <c r="G27" s="27"/>
    </row>
    <row r="28" spans="1:7" ht="23.1" customHeight="1">
      <c r="A28" s="23">
        <v>21</v>
      </c>
      <c r="B28" s="24" t="s">
        <v>63</v>
      </c>
      <c r="C28" s="25" t="s">
        <v>64</v>
      </c>
      <c r="D28" s="30" t="s">
        <v>65</v>
      </c>
      <c r="E28" s="25"/>
      <c r="F28" s="26">
        <v>1.21</v>
      </c>
      <c r="G28" s="27"/>
    </row>
    <row r="29" spans="1:7" ht="23.1" customHeight="1">
      <c r="A29" s="23">
        <v>22</v>
      </c>
      <c r="B29" s="24" t="s">
        <v>66</v>
      </c>
      <c r="C29" s="25" t="s">
        <v>67</v>
      </c>
      <c r="D29" s="24" t="s">
        <v>56</v>
      </c>
      <c r="E29" s="24">
        <v>26.6</v>
      </c>
      <c r="F29" s="29">
        <v>15.2</v>
      </c>
      <c r="G29" s="27">
        <f t="shared" si="0"/>
        <v>0.4285714285714286</v>
      </c>
    </row>
    <row r="30" spans="1:7" ht="23.1" customHeight="1">
      <c r="A30" s="23">
        <v>23</v>
      </c>
      <c r="B30" s="24" t="s">
        <v>68</v>
      </c>
      <c r="C30" s="25" t="s">
        <v>40</v>
      </c>
      <c r="D30" s="25" t="s">
        <v>69</v>
      </c>
      <c r="E30" s="25">
        <v>268</v>
      </c>
      <c r="F30" s="26">
        <v>43.3</v>
      </c>
      <c r="G30" s="27">
        <f t="shared" si="0"/>
        <v>0.83843283582089545</v>
      </c>
    </row>
    <row r="31" spans="1:7" ht="23.1" customHeight="1">
      <c r="A31" s="23">
        <v>24</v>
      </c>
      <c r="B31" s="24" t="s">
        <v>70</v>
      </c>
      <c r="C31" s="25" t="s">
        <v>71</v>
      </c>
      <c r="D31" s="25" t="s">
        <v>72</v>
      </c>
      <c r="E31" s="25">
        <v>2980</v>
      </c>
      <c r="F31" s="29">
        <v>888</v>
      </c>
      <c r="G31" s="27">
        <f t="shared" si="0"/>
        <v>0.70201342281879198</v>
      </c>
    </row>
    <row r="32" spans="1:7" ht="23.1" customHeight="1">
      <c r="A32" s="23">
        <v>25</v>
      </c>
      <c r="B32" s="24" t="s">
        <v>73</v>
      </c>
      <c r="C32" s="25" t="s">
        <v>74</v>
      </c>
      <c r="D32" s="25" t="s">
        <v>75</v>
      </c>
      <c r="E32" s="25"/>
      <c r="F32" s="29">
        <v>4330</v>
      </c>
      <c r="G32" s="27"/>
    </row>
    <row r="33" spans="1:7" ht="23.1" customHeight="1">
      <c r="A33" s="23">
        <v>26</v>
      </c>
      <c r="B33" s="24" t="s">
        <v>76</v>
      </c>
      <c r="C33" s="25" t="s">
        <v>52</v>
      </c>
      <c r="D33" s="25" t="s">
        <v>77</v>
      </c>
      <c r="E33" s="25">
        <v>409.71</v>
      </c>
      <c r="F33" s="29">
        <v>126.10000000000001</v>
      </c>
      <c r="G33" s="27">
        <f t="shared" si="0"/>
        <v>0.6922213272802713</v>
      </c>
    </row>
    <row r="34" spans="1:7" ht="23.1" customHeight="1">
      <c r="A34" s="23">
        <v>26</v>
      </c>
      <c r="B34" s="24" t="s">
        <v>76</v>
      </c>
      <c r="C34" s="25" t="s">
        <v>52</v>
      </c>
      <c r="D34" s="25" t="s">
        <v>485</v>
      </c>
      <c r="E34" s="25"/>
      <c r="F34" s="29">
        <v>172</v>
      </c>
      <c r="G34" s="27"/>
    </row>
    <row r="35" spans="1:7" ht="23.1" customHeight="1">
      <c r="A35" s="23">
        <v>26</v>
      </c>
      <c r="B35" s="24" t="s">
        <v>76</v>
      </c>
      <c r="C35" s="25" t="s">
        <v>52</v>
      </c>
      <c r="D35" s="25" t="s">
        <v>311</v>
      </c>
      <c r="E35" s="25"/>
      <c r="F35" s="29">
        <v>214.36999999999998</v>
      </c>
      <c r="G35" s="27"/>
    </row>
    <row r="36" spans="1:7" ht="23.1" customHeight="1">
      <c r="A36" s="23">
        <v>27</v>
      </c>
      <c r="B36" s="24" t="s">
        <v>78</v>
      </c>
      <c r="C36" s="25" t="s">
        <v>79</v>
      </c>
      <c r="D36" s="25" t="s">
        <v>26</v>
      </c>
      <c r="E36" s="25">
        <v>206.65</v>
      </c>
      <c r="F36" s="29">
        <v>64.8</v>
      </c>
      <c r="G36" s="27">
        <f t="shared" si="0"/>
        <v>0.68642632470360521</v>
      </c>
    </row>
    <row r="37" spans="1:7" ht="23.1" customHeight="1">
      <c r="A37" s="23">
        <v>28</v>
      </c>
      <c r="B37" s="24" t="s">
        <v>80</v>
      </c>
      <c r="C37" s="25" t="s">
        <v>81</v>
      </c>
      <c r="D37" s="25" t="s">
        <v>56</v>
      </c>
      <c r="E37" s="25">
        <v>203.7</v>
      </c>
      <c r="F37" s="29">
        <v>58.82</v>
      </c>
      <c r="G37" s="27">
        <f t="shared" si="0"/>
        <v>0.71124202258222879</v>
      </c>
    </row>
    <row r="38" spans="1:7" ht="46.5" customHeight="1">
      <c r="A38" s="23">
        <v>28</v>
      </c>
      <c r="B38" s="24" t="s">
        <v>80</v>
      </c>
      <c r="C38" s="25" t="s">
        <v>81</v>
      </c>
      <c r="D38" s="25" t="s">
        <v>20</v>
      </c>
      <c r="E38" s="25"/>
      <c r="F38" s="29">
        <v>170</v>
      </c>
      <c r="G38" s="27"/>
    </row>
    <row r="39" spans="1:7" ht="23.1" customHeight="1">
      <c r="A39" s="23">
        <v>29</v>
      </c>
      <c r="B39" s="24" t="s">
        <v>82</v>
      </c>
      <c r="C39" s="25" t="s">
        <v>83</v>
      </c>
      <c r="D39" s="25" t="s">
        <v>84</v>
      </c>
      <c r="E39" s="25">
        <v>571.42999999999995</v>
      </c>
      <c r="F39" s="29">
        <v>118</v>
      </c>
      <c r="G39" s="27">
        <f t="shared" si="0"/>
        <v>0.79350051624870932</v>
      </c>
    </row>
    <row r="40" spans="1:7" ht="23.1" customHeight="1">
      <c r="A40" s="23">
        <v>30</v>
      </c>
      <c r="B40" s="24" t="s">
        <v>85</v>
      </c>
      <c r="C40" s="25" t="s">
        <v>86</v>
      </c>
      <c r="D40" s="25" t="s">
        <v>87</v>
      </c>
      <c r="E40" s="25">
        <v>188.67</v>
      </c>
      <c r="F40" s="29">
        <v>31.05</v>
      </c>
      <c r="G40" s="27">
        <f t="shared" si="0"/>
        <v>0.83542693591985995</v>
      </c>
    </row>
    <row r="41" spans="1:7" ht="23.1" customHeight="1">
      <c r="A41" s="23">
        <v>31</v>
      </c>
      <c r="B41" s="24" t="s">
        <v>88</v>
      </c>
      <c r="C41" s="25" t="s">
        <v>89</v>
      </c>
      <c r="D41" s="25" t="s">
        <v>38</v>
      </c>
      <c r="E41" s="25">
        <v>239.87</v>
      </c>
      <c r="F41" s="29">
        <v>118.68</v>
      </c>
      <c r="G41" s="27">
        <f t="shared" si="0"/>
        <v>0.505232000667028</v>
      </c>
    </row>
    <row r="42" spans="1:7" ht="23.1" customHeight="1">
      <c r="A42" s="23">
        <v>32</v>
      </c>
      <c r="B42" s="24" t="s">
        <v>90</v>
      </c>
      <c r="C42" s="25" t="s">
        <v>5</v>
      </c>
      <c r="D42" s="25" t="s">
        <v>91</v>
      </c>
      <c r="E42" s="25"/>
      <c r="F42" s="29">
        <v>9369</v>
      </c>
      <c r="G42" s="27"/>
    </row>
    <row r="43" spans="1:7" ht="23.1" customHeight="1">
      <c r="A43" s="23">
        <v>33</v>
      </c>
      <c r="B43" s="24" t="s">
        <v>92</v>
      </c>
      <c r="C43" s="25" t="s">
        <v>52</v>
      </c>
      <c r="D43" s="24" t="s">
        <v>6</v>
      </c>
      <c r="E43" s="24">
        <v>7</v>
      </c>
      <c r="F43" s="29">
        <v>1.8699999999999999</v>
      </c>
      <c r="G43" s="27">
        <f t="shared" si="0"/>
        <v>0.73285714285714287</v>
      </c>
    </row>
    <row r="44" spans="1:7" ht="23.1" customHeight="1">
      <c r="A44" s="23">
        <v>33</v>
      </c>
      <c r="B44" s="24" t="s">
        <v>92</v>
      </c>
      <c r="C44" s="25" t="s">
        <v>52</v>
      </c>
      <c r="D44" s="24" t="s">
        <v>122</v>
      </c>
      <c r="E44" s="24"/>
      <c r="F44" s="29">
        <v>3.18</v>
      </c>
      <c r="G44" s="27"/>
    </row>
    <row r="45" spans="1:7" ht="23.1" customHeight="1">
      <c r="A45" s="23">
        <v>34</v>
      </c>
      <c r="B45" s="24" t="s">
        <v>93</v>
      </c>
      <c r="C45" s="25" t="s">
        <v>94</v>
      </c>
      <c r="D45" s="30" t="s">
        <v>95</v>
      </c>
      <c r="E45" s="25"/>
      <c r="F45" s="26">
        <v>1.58</v>
      </c>
      <c r="G45" s="27"/>
    </row>
    <row r="46" spans="1:7" ht="23.1" customHeight="1">
      <c r="A46" s="23">
        <v>35</v>
      </c>
      <c r="B46" s="24" t="s">
        <v>96</v>
      </c>
      <c r="C46" s="25" t="s">
        <v>52</v>
      </c>
      <c r="D46" s="25" t="s">
        <v>38</v>
      </c>
      <c r="E46" s="25">
        <v>94.11</v>
      </c>
      <c r="F46" s="26">
        <v>53.56</v>
      </c>
      <c r="G46" s="27">
        <f t="shared" si="0"/>
        <v>0.43087875889916055</v>
      </c>
    </row>
    <row r="47" spans="1:7" ht="23.1" customHeight="1">
      <c r="A47" s="23">
        <v>36</v>
      </c>
      <c r="B47" s="24" t="s">
        <v>97</v>
      </c>
      <c r="C47" s="25" t="s">
        <v>98</v>
      </c>
      <c r="D47" s="25" t="s">
        <v>6</v>
      </c>
      <c r="E47" s="25">
        <v>116.67</v>
      </c>
      <c r="F47" s="26">
        <v>53.6</v>
      </c>
      <c r="G47" s="27">
        <f t="shared" si="0"/>
        <v>0.54058455472700784</v>
      </c>
    </row>
    <row r="48" spans="1:7" ht="23.1" customHeight="1">
      <c r="A48" s="23">
        <v>37</v>
      </c>
      <c r="B48" s="24" t="s">
        <v>99</v>
      </c>
      <c r="C48" s="25" t="s">
        <v>100</v>
      </c>
      <c r="D48" s="24" t="s">
        <v>38</v>
      </c>
      <c r="E48" s="24">
        <v>179.05</v>
      </c>
      <c r="F48" s="29">
        <v>36.660000000000004</v>
      </c>
      <c r="G48" s="27">
        <f t="shared" si="0"/>
        <v>0.79525272270315561</v>
      </c>
    </row>
    <row r="49" spans="1:7" ht="23.1" customHeight="1">
      <c r="A49" s="23">
        <v>37</v>
      </c>
      <c r="B49" s="24" t="s">
        <v>99</v>
      </c>
      <c r="C49" s="25" t="s">
        <v>100</v>
      </c>
      <c r="D49" s="24" t="s">
        <v>20</v>
      </c>
      <c r="E49" s="24"/>
      <c r="F49" s="29">
        <v>62.32</v>
      </c>
      <c r="G49" s="27"/>
    </row>
    <row r="50" spans="1:7" ht="23.1" customHeight="1">
      <c r="A50" s="23">
        <v>37</v>
      </c>
      <c r="B50" s="24" t="s">
        <v>99</v>
      </c>
      <c r="C50" s="25" t="s">
        <v>100</v>
      </c>
      <c r="D50" s="24" t="s">
        <v>134</v>
      </c>
      <c r="E50" s="24"/>
      <c r="F50" s="29">
        <v>85</v>
      </c>
      <c r="G50" s="27"/>
    </row>
    <row r="51" spans="1:7" ht="23.1" customHeight="1">
      <c r="A51" s="23">
        <v>38</v>
      </c>
      <c r="B51" s="24" t="s">
        <v>101</v>
      </c>
      <c r="C51" s="25" t="s">
        <v>102</v>
      </c>
      <c r="D51" s="25" t="s">
        <v>103</v>
      </c>
      <c r="E51" s="25">
        <v>3980</v>
      </c>
      <c r="F51" s="29">
        <v>726</v>
      </c>
      <c r="G51" s="27">
        <f t="shared" si="0"/>
        <v>0.81758793969849242</v>
      </c>
    </row>
    <row r="52" spans="1:7" ht="23.1" customHeight="1">
      <c r="A52" s="23">
        <v>39</v>
      </c>
      <c r="B52" s="24" t="s">
        <v>104</v>
      </c>
      <c r="C52" s="25" t="s">
        <v>105</v>
      </c>
      <c r="D52" s="25" t="s">
        <v>84</v>
      </c>
      <c r="E52" s="25">
        <v>92.5</v>
      </c>
      <c r="F52" s="29">
        <v>37</v>
      </c>
      <c r="G52" s="27">
        <f t="shared" si="0"/>
        <v>0.6</v>
      </c>
    </row>
    <row r="53" spans="1:7" ht="23.1" customHeight="1">
      <c r="A53" s="23">
        <v>40</v>
      </c>
      <c r="B53" s="24" t="s">
        <v>106</v>
      </c>
      <c r="C53" s="25" t="s">
        <v>107</v>
      </c>
      <c r="D53" s="25" t="s">
        <v>108</v>
      </c>
      <c r="E53" s="25">
        <v>101.19</v>
      </c>
      <c r="F53" s="29">
        <v>48.46</v>
      </c>
      <c r="G53" s="27">
        <f t="shared" si="0"/>
        <v>0.52109892281846026</v>
      </c>
    </row>
    <row r="54" spans="1:7" ht="23.1" customHeight="1">
      <c r="A54" s="23">
        <v>41</v>
      </c>
      <c r="B54" s="24" t="s">
        <v>109</v>
      </c>
      <c r="C54" s="25" t="s">
        <v>110</v>
      </c>
      <c r="D54" s="25" t="s">
        <v>111</v>
      </c>
      <c r="E54" s="25">
        <v>2358</v>
      </c>
      <c r="F54" s="26">
        <v>1622.84</v>
      </c>
      <c r="G54" s="27">
        <f t="shared" si="0"/>
        <v>0.31177268871925362</v>
      </c>
    </row>
    <row r="55" spans="1:7" ht="23.1" customHeight="1">
      <c r="A55" s="23">
        <v>42</v>
      </c>
      <c r="B55" s="24" t="s">
        <v>112</v>
      </c>
      <c r="C55" s="25" t="s">
        <v>113</v>
      </c>
      <c r="D55" s="25" t="s">
        <v>114</v>
      </c>
      <c r="E55" s="25">
        <v>276.95</v>
      </c>
      <c r="F55" s="26">
        <v>95.5</v>
      </c>
      <c r="G55" s="27">
        <f t="shared" si="0"/>
        <v>0.65517241379310343</v>
      </c>
    </row>
    <row r="56" spans="1:7" ht="23.1" customHeight="1">
      <c r="A56" s="23">
        <v>42</v>
      </c>
      <c r="B56" s="24" t="s">
        <v>112</v>
      </c>
      <c r="C56" s="25" t="s">
        <v>113</v>
      </c>
      <c r="D56" s="25" t="s">
        <v>486</v>
      </c>
      <c r="E56" s="25"/>
      <c r="F56" s="26">
        <v>276</v>
      </c>
      <c r="G56" s="27"/>
    </row>
    <row r="57" spans="1:7" ht="23.1" customHeight="1">
      <c r="A57" s="23">
        <v>43</v>
      </c>
      <c r="B57" s="24" t="s">
        <v>115</v>
      </c>
      <c r="C57" s="25" t="s">
        <v>110</v>
      </c>
      <c r="D57" s="24" t="s">
        <v>116</v>
      </c>
      <c r="E57" s="24">
        <v>332.5</v>
      </c>
      <c r="F57" s="29">
        <v>55</v>
      </c>
      <c r="G57" s="27">
        <f t="shared" si="0"/>
        <v>0.83458646616541354</v>
      </c>
    </row>
    <row r="58" spans="1:7" ht="23.1" customHeight="1">
      <c r="A58" s="23">
        <v>44</v>
      </c>
      <c r="B58" s="24" t="s">
        <v>117</v>
      </c>
      <c r="C58" s="25" t="s">
        <v>118</v>
      </c>
      <c r="D58" s="25" t="s">
        <v>119</v>
      </c>
      <c r="E58" s="25">
        <v>196.67</v>
      </c>
      <c r="F58" s="29">
        <v>62.6</v>
      </c>
      <c r="G58" s="27">
        <f t="shared" si="0"/>
        <v>0.68170031016423449</v>
      </c>
    </row>
    <row r="59" spans="1:7" ht="23.1" customHeight="1">
      <c r="A59" s="23">
        <v>45</v>
      </c>
      <c r="B59" s="24" t="s">
        <v>120</v>
      </c>
      <c r="C59" s="25" t="s">
        <v>121</v>
      </c>
      <c r="D59" s="25" t="s">
        <v>122</v>
      </c>
      <c r="E59" s="25">
        <v>13500</v>
      </c>
      <c r="F59" s="29">
        <v>3800</v>
      </c>
      <c r="G59" s="27">
        <f t="shared" si="0"/>
        <v>0.71851851851851856</v>
      </c>
    </row>
    <row r="60" spans="1:7" ht="23.1" customHeight="1">
      <c r="A60" s="23">
        <v>46</v>
      </c>
      <c r="B60" s="24" t="s">
        <v>123</v>
      </c>
      <c r="C60" s="25" t="s">
        <v>55</v>
      </c>
      <c r="D60" s="25" t="s">
        <v>124</v>
      </c>
      <c r="E60" s="31"/>
      <c r="F60" s="29">
        <v>31</v>
      </c>
      <c r="G60" s="27"/>
    </row>
    <row r="61" spans="1:7" ht="23.1" customHeight="1">
      <c r="A61" s="23">
        <v>47</v>
      </c>
      <c r="B61" s="24" t="s">
        <v>125</v>
      </c>
      <c r="C61" s="25" t="s">
        <v>126</v>
      </c>
      <c r="D61" s="25" t="s">
        <v>127</v>
      </c>
      <c r="E61" s="25">
        <v>550000</v>
      </c>
      <c r="F61" s="29">
        <v>33180</v>
      </c>
      <c r="G61" s="27">
        <f t="shared" si="0"/>
        <v>0.93967272727272733</v>
      </c>
    </row>
    <row r="62" spans="1:7" ht="23.1" customHeight="1">
      <c r="A62" s="23">
        <v>48</v>
      </c>
      <c r="B62" s="24" t="s">
        <v>128</v>
      </c>
      <c r="C62" s="25" t="s">
        <v>126</v>
      </c>
      <c r="D62" s="24" t="s">
        <v>129</v>
      </c>
      <c r="E62" s="24"/>
      <c r="F62" s="29">
        <v>16.100000000000001</v>
      </c>
      <c r="G62" s="27"/>
    </row>
    <row r="63" spans="1:7" ht="23.1" customHeight="1">
      <c r="A63" s="23">
        <v>49</v>
      </c>
      <c r="B63" s="24" t="s">
        <v>130</v>
      </c>
      <c r="C63" s="25" t="s">
        <v>74</v>
      </c>
      <c r="D63" s="24" t="s">
        <v>131</v>
      </c>
      <c r="E63" s="24">
        <v>12180</v>
      </c>
      <c r="F63" s="29">
        <v>3100</v>
      </c>
      <c r="G63" s="27">
        <f t="shared" si="0"/>
        <v>0.74548440065681443</v>
      </c>
    </row>
    <row r="64" spans="1:7" ht="23.1" customHeight="1">
      <c r="A64" s="23">
        <v>50</v>
      </c>
      <c r="B64" s="24" t="s">
        <v>132</v>
      </c>
      <c r="C64" s="25" t="s">
        <v>133</v>
      </c>
      <c r="D64" s="25" t="s">
        <v>134</v>
      </c>
      <c r="E64" s="25">
        <v>21.31</v>
      </c>
      <c r="F64" s="26">
        <v>7.05</v>
      </c>
      <c r="G64" s="27">
        <f t="shared" si="0"/>
        <v>0.66916940403566394</v>
      </c>
    </row>
    <row r="65" spans="1:7" ht="23.1" customHeight="1">
      <c r="A65" s="23">
        <v>51</v>
      </c>
      <c r="B65" s="24" t="s">
        <v>135</v>
      </c>
      <c r="C65" s="25" t="s">
        <v>136</v>
      </c>
      <c r="D65" s="25" t="s">
        <v>137</v>
      </c>
      <c r="E65" s="25">
        <v>1499</v>
      </c>
      <c r="F65" s="29">
        <v>678</v>
      </c>
      <c r="G65" s="27">
        <f t="shared" si="0"/>
        <v>0.54769846564376246</v>
      </c>
    </row>
    <row r="66" spans="1:7" ht="23.1" customHeight="1">
      <c r="A66" s="23">
        <v>51</v>
      </c>
      <c r="B66" s="24" t="s">
        <v>135</v>
      </c>
      <c r="C66" s="25" t="s">
        <v>136</v>
      </c>
      <c r="D66" s="25" t="s">
        <v>487</v>
      </c>
      <c r="E66" s="25"/>
      <c r="F66" s="29">
        <v>924.77</v>
      </c>
      <c r="G66" s="27"/>
    </row>
    <row r="67" spans="1:7" ht="23.1" customHeight="1">
      <c r="A67" s="23">
        <v>51</v>
      </c>
      <c r="B67" s="24" t="s">
        <v>135</v>
      </c>
      <c r="C67" s="25" t="s">
        <v>136</v>
      </c>
      <c r="D67" s="25" t="s">
        <v>108</v>
      </c>
      <c r="E67" s="25"/>
      <c r="F67" s="29">
        <v>1152.5999999999999</v>
      </c>
      <c r="G67" s="27"/>
    </row>
    <row r="68" spans="1:7" ht="23.1" customHeight="1">
      <c r="A68" s="23">
        <v>52</v>
      </c>
      <c r="B68" s="24" t="s">
        <v>138</v>
      </c>
      <c r="C68" s="25" t="s">
        <v>139</v>
      </c>
      <c r="D68" s="25" t="s">
        <v>38</v>
      </c>
      <c r="E68" s="25">
        <v>619</v>
      </c>
      <c r="F68" s="26">
        <v>168</v>
      </c>
      <c r="G68" s="27">
        <f t="shared" si="0"/>
        <v>0.72859450726979003</v>
      </c>
    </row>
    <row r="69" spans="1:7" ht="23.1" customHeight="1">
      <c r="A69" s="23">
        <v>53</v>
      </c>
      <c r="B69" s="24" t="s">
        <v>140</v>
      </c>
      <c r="C69" s="25" t="s">
        <v>141</v>
      </c>
      <c r="D69" s="25" t="s">
        <v>129</v>
      </c>
      <c r="E69" s="25">
        <v>8.4700000000000006</v>
      </c>
      <c r="F69" s="26">
        <v>6.7</v>
      </c>
      <c r="G69" s="27">
        <f t="shared" si="0"/>
        <v>0.20897284533648175</v>
      </c>
    </row>
    <row r="70" spans="1:7" ht="23.1" customHeight="1">
      <c r="A70" s="23">
        <v>53</v>
      </c>
      <c r="B70" s="24" t="s">
        <v>140</v>
      </c>
      <c r="C70" s="25" t="s">
        <v>141</v>
      </c>
      <c r="D70" s="25" t="s">
        <v>6</v>
      </c>
      <c r="E70" s="25">
        <v>14.4</v>
      </c>
      <c r="F70" s="26">
        <v>11.39</v>
      </c>
      <c r="G70" s="27">
        <f t="shared" si="0"/>
        <v>0.20902777777777776</v>
      </c>
    </row>
    <row r="71" spans="1:7" ht="23.1" customHeight="1">
      <c r="A71" s="23">
        <v>54</v>
      </c>
      <c r="B71" s="24" t="s">
        <v>142</v>
      </c>
      <c r="C71" s="25" t="s">
        <v>143</v>
      </c>
      <c r="D71" s="30" t="s">
        <v>184</v>
      </c>
      <c r="E71" s="25">
        <v>1298</v>
      </c>
      <c r="F71" s="29">
        <v>283.8</v>
      </c>
      <c r="G71" s="27">
        <f t="shared" si="0"/>
        <v>0.78135593220338984</v>
      </c>
    </row>
    <row r="72" spans="1:7" ht="23.1" customHeight="1">
      <c r="A72" s="23">
        <v>55</v>
      </c>
      <c r="B72" s="24" t="s">
        <v>144</v>
      </c>
      <c r="C72" s="25" t="s">
        <v>145</v>
      </c>
      <c r="D72" s="24" t="s">
        <v>146</v>
      </c>
      <c r="E72" s="24">
        <v>1888</v>
      </c>
      <c r="F72" s="29">
        <v>306</v>
      </c>
      <c r="G72" s="27">
        <f t="shared" si="0"/>
        <v>0.83792372881355937</v>
      </c>
    </row>
    <row r="73" spans="1:7" ht="23.1" customHeight="1">
      <c r="A73" s="23">
        <v>56</v>
      </c>
      <c r="B73" s="24" t="s">
        <v>147</v>
      </c>
      <c r="C73" s="25" t="s">
        <v>148</v>
      </c>
      <c r="D73" s="25" t="s">
        <v>149</v>
      </c>
      <c r="E73" s="25">
        <v>162</v>
      </c>
      <c r="F73" s="29">
        <v>28.53</v>
      </c>
      <c r="G73" s="27">
        <f t="shared" si="0"/>
        <v>0.82388888888888889</v>
      </c>
    </row>
    <row r="74" spans="1:7" ht="23.1" customHeight="1">
      <c r="A74" s="23">
        <v>56</v>
      </c>
      <c r="B74" s="24" t="s">
        <v>147</v>
      </c>
      <c r="C74" s="25" t="s">
        <v>148</v>
      </c>
      <c r="D74" s="25" t="s">
        <v>488</v>
      </c>
      <c r="E74" s="25"/>
      <c r="F74" s="29">
        <v>48.5</v>
      </c>
      <c r="G74" s="27"/>
    </row>
    <row r="75" spans="1:7" ht="23.1" customHeight="1">
      <c r="A75" s="23">
        <v>57</v>
      </c>
      <c r="B75" s="24" t="s">
        <v>150</v>
      </c>
      <c r="C75" s="25" t="s">
        <v>86</v>
      </c>
      <c r="D75" s="25" t="s">
        <v>151</v>
      </c>
      <c r="E75" s="25">
        <v>2136.67</v>
      </c>
      <c r="F75" s="29">
        <v>542</v>
      </c>
      <c r="G75" s="27">
        <f t="shared" si="0"/>
        <v>0.74633424908853496</v>
      </c>
    </row>
    <row r="76" spans="1:7" ht="23.1" customHeight="1">
      <c r="A76" s="23">
        <v>58</v>
      </c>
      <c r="B76" s="24" t="s">
        <v>152</v>
      </c>
      <c r="C76" s="25" t="s">
        <v>153</v>
      </c>
      <c r="D76" s="25" t="s">
        <v>154</v>
      </c>
      <c r="E76" s="25">
        <v>15.88</v>
      </c>
      <c r="F76" s="26">
        <v>7.98</v>
      </c>
      <c r="G76" s="27">
        <f t="shared" si="0"/>
        <v>0.49748110831234255</v>
      </c>
    </row>
    <row r="77" spans="1:7" ht="23.1" customHeight="1">
      <c r="A77" s="23">
        <v>59</v>
      </c>
      <c r="B77" s="24" t="s">
        <v>155</v>
      </c>
      <c r="C77" s="25" t="s">
        <v>156</v>
      </c>
      <c r="D77" s="25" t="s">
        <v>157</v>
      </c>
      <c r="E77" s="25">
        <v>26.63</v>
      </c>
      <c r="F77" s="26">
        <v>5.5</v>
      </c>
      <c r="G77" s="27">
        <f t="shared" si="0"/>
        <v>0.79346601577168607</v>
      </c>
    </row>
    <row r="78" spans="1:7" ht="23.1" customHeight="1">
      <c r="A78" s="23">
        <v>60</v>
      </c>
      <c r="B78" s="24" t="s">
        <v>158</v>
      </c>
      <c r="C78" s="25" t="s">
        <v>121</v>
      </c>
      <c r="D78" s="25" t="s">
        <v>159</v>
      </c>
      <c r="E78" s="25">
        <v>2586</v>
      </c>
      <c r="F78" s="29">
        <v>818</v>
      </c>
      <c r="G78" s="27">
        <f t="shared" si="0"/>
        <v>0.68368136117556066</v>
      </c>
    </row>
    <row r="79" spans="1:7" ht="23.1" customHeight="1">
      <c r="A79" s="23">
        <v>61</v>
      </c>
      <c r="B79" s="24" t="s">
        <v>160</v>
      </c>
      <c r="C79" s="25" t="s">
        <v>110</v>
      </c>
      <c r="D79" s="25" t="s">
        <v>161</v>
      </c>
      <c r="E79" s="25">
        <v>29350</v>
      </c>
      <c r="F79" s="29">
        <v>4318</v>
      </c>
      <c r="G79" s="27">
        <f t="shared" ref="G79:G86" si="1">(E79-F79)/E79</f>
        <v>0.85287904599659281</v>
      </c>
    </row>
    <row r="80" spans="1:7" ht="23.1" customHeight="1">
      <c r="A80" s="23">
        <v>61</v>
      </c>
      <c r="B80" s="24" t="s">
        <v>160</v>
      </c>
      <c r="C80" s="25" t="s">
        <v>110</v>
      </c>
      <c r="D80" s="25" t="s">
        <v>489</v>
      </c>
      <c r="E80" s="25"/>
      <c r="F80" s="29">
        <v>7340</v>
      </c>
      <c r="G80" s="27"/>
    </row>
    <row r="81" spans="1:7" ht="23.1" customHeight="1">
      <c r="A81" s="23">
        <v>62</v>
      </c>
      <c r="B81" s="24" t="s">
        <v>162</v>
      </c>
      <c r="C81" s="25" t="s">
        <v>110</v>
      </c>
      <c r="D81" s="25" t="s">
        <v>163</v>
      </c>
      <c r="E81" s="25">
        <v>14250</v>
      </c>
      <c r="F81" s="29">
        <v>2531.2399999999998</v>
      </c>
      <c r="G81" s="27">
        <f t="shared" si="1"/>
        <v>0.82236912280701757</v>
      </c>
    </row>
    <row r="82" spans="1:7" ht="23.1" customHeight="1">
      <c r="A82" s="23">
        <v>63</v>
      </c>
      <c r="B82" s="24" t="s">
        <v>164</v>
      </c>
      <c r="C82" s="25" t="s">
        <v>86</v>
      </c>
      <c r="D82" s="32">
        <v>0.02</v>
      </c>
      <c r="E82" s="25">
        <v>450</v>
      </c>
      <c r="F82" s="29">
        <v>158.80000000000001</v>
      </c>
      <c r="G82" s="27">
        <f t="shared" si="1"/>
        <v>0.64711111111111108</v>
      </c>
    </row>
    <row r="83" spans="1:7" ht="23.1" customHeight="1">
      <c r="A83" s="23">
        <v>64</v>
      </c>
      <c r="B83" s="24" t="s">
        <v>165</v>
      </c>
      <c r="C83" s="25" t="s">
        <v>100</v>
      </c>
      <c r="D83" s="25" t="s">
        <v>166</v>
      </c>
      <c r="E83" s="25">
        <v>2896</v>
      </c>
      <c r="F83" s="29">
        <v>1218</v>
      </c>
      <c r="G83" s="27">
        <f t="shared" si="1"/>
        <v>0.57941988950276246</v>
      </c>
    </row>
    <row r="84" spans="1:7" ht="23.1" customHeight="1">
      <c r="A84" s="23">
        <v>65</v>
      </c>
      <c r="B84" s="24" t="s">
        <v>168</v>
      </c>
      <c r="C84" s="25" t="s">
        <v>169</v>
      </c>
      <c r="D84" s="25" t="s">
        <v>149</v>
      </c>
      <c r="E84" s="25">
        <v>16.5</v>
      </c>
      <c r="F84" s="29">
        <v>9.9</v>
      </c>
      <c r="G84" s="27">
        <f t="shared" si="1"/>
        <v>0.39999999999999997</v>
      </c>
    </row>
    <row r="85" spans="1:7" ht="23.1" customHeight="1">
      <c r="A85" s="23">
        <v>66</v>
      </c>
      <c r="B85" s="24" t="s">
        <v>170</v>
      </c>
      <c r="C85" s="25" t="s">
        <v>171</v>
      </c>
      <c r="D85" s="25" t="s">
        <v>172</v>
      </c>
      <c r="E85" s="25"/>
      <c r="F85" s="29">
        <v>21.5</v>
      </c>
      <c r="G85" s="27"/>
    </row>
    <row r="86" spans="1:7" ht="23.1" customHeight="1">
      <c r="A86" s="23">
        <v>67</v>
      </c>
      <c r="B86" s="24" t="s">
        <v>173</v>
      </c>
      <c r="C86" s="25" t="s">
        <v>174</v>
      </c>
      <c r="D86" s="25" t="s">
        <v>175</v>
      </c>
      <c r="E86" s="25">
        <v>16.829999999999998</v>
      </c>
      <c r="F86" s="29">
        <v>4.2799999999999994</v>
      </c>
      <c r="G86" s="27">
        <f t="shared" si="1"/>
        <v>0.74569221628045157</v>
      </c>
    </row>
  </sheetData>
  <mergeCells count="2">
    <mergeCell ref="A1:G1"/>
    <mergeCell ref="A2:G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CB76-C2C1-425F-A36D-9F9C9857D34B}">
  <dimension ref="A1:H121"/>
  <sheetViews>
    <sheetView zoomScaleNormal="100" workbookViewId="0">
      <selection activeCell="N29" sqref="N29"/>
    </sheetView>
  </sheetViews>
  <sheetFormatPr defaultRowHeight="12.75"/>
  <cols>
    <col min="1" max="1" width="6.75" style="14" customWidth="1"/>
    <col min="2" max="2" width="8.375" style="14" customWidth="1"/>
    <col min="3" max="3" width="30.375" style="14" customWidth="1"/>
    <col min="4" max="4" width="22.625" style="14" customWidth="1"/>
    <col min="5" max="5" width="14.625" style="14" customWidth="1"/>
    <col min="6" max="6" width="12" style="17" customWidth="1"/>
    <col min="7" max="7" width="12.5" style="17" customWidth="1"/>
    <col min="8" max="8" width="8.5" style="17" bestFit="1" customWidth="1"/>
    <col min="9" max="16384" width="9" style="1"/>
  </cols>
  <sheetData>
    <row r="1" spans="1:8" ht="23.1" customHeight="1">
      <c r="A1" s="42" t="s">
        <v>185</v>
      </c>
      <c r="B1" s="42"/>
      <c r="C1" s="42"/>
      <c r="D1" s="42"/>
      <c r="E1" s="42"/>
      <c r="F1" s="42"/>
      <c r="G1" s="42"/>
      <c r="H1" s="42"/>
    </row>
    <row r="2" spans="1:8" ht="73.5" customHeight="1">
      <c r="A2" s="41" t="s">
        <v>177</v>
      </c>
      <c r="B2" s="41"/>
      <c r="C2" s="41"/>
      <c r="D2" s="41"/>
      <c r="E2" s="41"/>
      <c r="F2" s="41"/>
      <c r="G2" s="41"/>
      <c r="H2" s="41"/>
    </row>
    <row r="3" spans="1:8" ht="33.75" customHeight="1">
      <c r="A3" s="19" t="s">
        <v>178</v>
      </c>
      <c r="B3" s="19" t="s">
        <v>186</v>
      </c>
      <c r="C3" s="19" t="s">
        <v>179</v>
      </c>
      <c r="D3" s="19" t="s">
        <v>187</v>
      </c>
      <c r="E3" s="19" t="s">
        <v>188</v>
      </c>
      <c r="F3" s="21" t="s">
        <v>189</v>
      </c>
      <c r="G3" s="20" t="s">
        <v>190</v>
      </c>
      <c r="H3" s="19" t="s">
        <v>181</v>
      </c>
    </row>
    <row r="4" spans="1:8" ht="21" customHeight="1">
      <c r="A4" s="33">
        <v>1</v>
      </c>
      <c r="B4" s="24" t="s">
        <v>3</v>
      </c>
      <c r="C4" s="24" t="s">
        <v>191</v>
      </c>
      <c r="D4" s="34" t="s">
        <v>192</v>
      </c>
      <c r="E4" s="30" t="s">
        <v>193</v>
      </c>
      <c r="F4" s="31">
        <v>4100</v>
      </c>
      <c r="G4" s="26" t="s">
        <v>182</v>
      </c>
      <c r="H4" s="35"/>
    </row>
    <row r="5" spans="1:8" ht="21" customHeight="1">
      <c r="A5" s="33">
        <v>2</v>
      </c>
      <c r="B5" s="24" t="s">
        <v>3</v>
      </c>
      <c r="C5" s="24" t="s">
        <v>194</v>
      </c>
      <c r="D5" s="34" t="s">
        <v>195</v>
      </c>
      <c r="E5" s="34" t="s">
        <v>196</v>
      </c>
      <c r="F5" s="36">
        <v>2.62</v>
      </c>
      <c r="G5" s="26">
        <v>1.8499999999999999</v>
      </c>
      <c r="H5" s="35">
        <f t="shared" ref="H5:H18" si="0">(F5-G5)/F5</f>
        <v>0.29389312977099247</v>
      </c>
    </row>
    <row r="6" spans="1:8" ht="21" customHeight="1">
      <c r="A6" s="33">
        <v>2</v>
      </c>
      <c r="B6" s="24" t="s">
        <v>3</v>
      </c>
      <c r="C6" s="24" t="s">
        <v>194</v>
      </c>
      <c r="D6" s="34" t="s">
        <v>195</v>
      </c>
      <c r="E6" s="34" t="s">
        <v>197</v>
      </c>
      <c r="F6" s="36">
        <v>6.08</v>
      </c>
      <c r="G6" s="26">
        <v>4.3</v>
      </c>
      <c r="H6" s="35">
        <f t="shared" si="0"/>
        <v>0.29276315789473689</v>
      </c>
    </row>
    <row r="7" spans="1:8" ht="21" customHeight="1">
      <c r="A7" s="33">
        <v>3</v>
      </c>
      <c r="B7" s="24" t="s">
        <v>3</v>
      </c>
      <c r="C7" s="24" t="s">
        <v>198</v>
      </c>
      <c r="D7" s="34" t="s">
        <v>199</v>
      </c>
      <c r="E7" s="30" t="s">
        <v>200</v>
      </c>
      <c r="F7" s="31">
        <v>78.33</v>
      </c>
      <c r="G7" s="26">
        <v>71.8</v>
      </c>
      <c r="H7" s="35">
        <f t="shared" si="0"/>
        <v>8.3365249585088744E-2</v>
      </c>
    </row>
    <row r="8" spans="1:8" ht="37.5" customHeight="1">
      <c r="A8" s="33">
        <v>4</v>
      </c>
      <c r="B8" s="24" t="s">
        <v>3</v>
      </c>
      <c r="C8" s="24" t="s">
        <v>201</v>
      </c>
      <c r="D8" s="34" t="s">
        <v>202</v>
      </c>
      <c r="E8" s="34" t="s">
        <v>203</v>
      </c>
      <c r="F8" s="36">
        <v>43</v>
      </c>
      <c r="G8" s="26">
        <v>34.200000000000003</v>
      </c>
      <c r="H8" s="35">
        <f t="shared" si="0"/>
        <v>0.20465116279069762</v>
      </c>
    </row>
    <row r="9" spans="1:8" ht="21" customHeight="1">
      <c r="A9" s="33">
        <v>5</v>
      </c>
      <c r="B9" s="24" t="s">
        <v>3</v>
      </c>
      <c r="C9" s="24" t="s">
        <v>204</v>
      </c>
      <c r="D9" s="34" t="s">
        <v>205</v>
      </c>
      <c r="E9" s="30" t="s">
        <v>206</v>
      </c>
      <c r="F9" s="31">
        <v>240</v>
      </c>
      <c r="G9" s="26" t="s">
        <v>182</v>
      </c>
      <c r="H9" s="35"/>
    </row>
    <row r="10" spans="1:8" ht="21" customHeight="1">
      <c r="A10" s="33">
        <v>5</v>
      </c>
      <c r="B10" s="24" t="s">
        <v>3</v>
      </c>
      <c r="C10" s="24" t="s">
        <v>204</v>
      </c>
      <c r="D10" s="34" t="s">
        <v>205</v>
      </c>
      <c r="E10" s="30" t="s">
        <v>207</v>
      </c>
      <c r="F10" s="31">
        <v>408</v>
      </c>
      <c r="G10" s="26" t="s">
        <v>182</v>
      </c>
      <c r="H10" s="35"/>
    </row>
    <row r="11" spans="1:8" ht="21" customHeight="1">
      <c r="A11" s="33">
        <v>6</v>
      </c>
      <c r="B11" s="24" t="s">
        <v>3</v>
      </c>
      <c r="C11" s="24" t="s">
        <v>208</v>
      </c>
      <c r="D11" s="30" t="s">
        <v>209</v>
      </c>
      <c r="E11" s="30" t="s">
        <v>210</v>
      </c>
      <c r="F11" s="31">
        <v>18.68</v>
      </c>
      <c r="G11" s="26" t="s">
        <v>182</v>
      </c>
      <c r="H11" s="35"/>
    </row>
    <row r="12" spans="1:8" ht="21" customHeight="1">
      <c r="A12" s="33">
        <v>7</v>
      </c>
      <c r="B12" s="24" t="s">
        <v>3</v>
      </c>
      <c r="C12" s="24" t="s">
        <v>211</v>
      </c>
      <c r="D12" s="30" t="s">
        <v>209</v>
      </c>
      <c r="E12" s="25" t="s">
        <v>212</v>
      </c>
      <c r="F12" s="26">
        <v>18.68</v>
      </c>
      <c r="G12" s="26" t="s">
        <v>182</v>
      </c>
      <c r="H12" s="35"/>
    </row>
    <row r="13" spans="1:8" ht="21" customHeight="1">
      <c r="A13" s="33">
        <v>8</v>
      </c>
      <c r="B13" s="24" t="s">
        <v>3</v>
      </c>
      <c r="C13" s="24" t="s">
        <v>213</v>
      </c>
      <c r="D13" s="34" t="s">
        <v>214</v>
      </c>
      <c r="E13" s="30" t="s">
        <v>215</v>
      </c>
      <c r="F13" s="31">
        <v>86</v>
      </c>
      <c r="G13" s="26" t="s">
        <v>182</v>
      </c>
      <c r="H13" s="35"/>
    </row>
    <row r="14" spans="1:8" ht="21" customHeight="1">
      <c r="A14" s="33">
        <v>9</v>
      </c>
      <c r="B14" s="24" t="s">
        <v>3</v>
      </c>
      <c r="C14" s="24" t="s">
        <v>216</v>
      </c>
      <c r="D14" s="34" t="s">
        <v>217</v>
      </c>
      <c r="E14" s="34" t="s">
        <v>218</v>
      </c>
      <c r="F14" s="36">
        <v>4000</v>
      </c>
      <c r="G14" s="26" t="s">
        <v>182</v>
      </c>
      <c r="H14" s="35"/>
    </row>
    <row r="15" spans="1:8" ht="21" customHeight="1">
      <c r="A15" s="33">
        <v>10</v>
      </c>
      <c r="B15" s="24" t="s">
        <v>3</v>
      </c>
      <c r="C15" s="24" t="s">
        <v>219</v>
      </c>
      <c r="D15" s="34" t="s">
        <v>220</v>
      </c>
      <c r="E15" s="30" t="s">
        <v>221</v>
      </c>
      <c r="F15" s="31">
        <v>42.81</v>
      </c>
      <c r="G15" s="26" t="s">
        <v>182</v>
      </c>
      <c r="H15" s="35"/>
    </row>
    <row r="16" spans="1:8" ht="21" customHeight="1">
      <c r="A16" s="33">
        <v>10</v>
      </c>
      <c r="B16" s="24" t="s">
        <v>3</v>
      </c>
      <c r="C16" s="24" t="s">
        <v>219</v>
      </c>
      <c r="D16" s="34" t="s">
        <v>220</v>
      </c>
      <c r="E16" s="30" t="s">
        <v>222</v>
      </c>
      <c r="F16" s="31">
        <v>100</v>
      </c>
      <c r="G16" s="26" t="s">
        <v>182</v>
      </c>
      <c r="H16" s="35"/>
    </row>
    <row r="17" spans="1:8" ht="21" customHeight="1">
      <c r="A17" s="33">
        <v>11</v>
      </c>
      <c r="B17" s="24" t="s">
        <v>3</v>
      </c>
      <c r="C17" s="24" t="s">
        <v>223</v>
      </c>
      <c r="D17" s="30" t="s">
        <v>224</v>
      </c>
      <c r="E17" s="30" t="s">
        <v>225</v>
      </c>
      <c r="F17" s="36">
        <v>94.5</v>
      </c>
      <c r="G17" s="26">
        <v>89.78</v>
      </c>
      <c r="H17" s="35">
        <f t="shared" si="0"/>
        <v>4.9947089947089934E-2</v>
      </c>
    </row>
    <row r="18" spans="1:8" ht="21" customHeight="1">
      <c r="A18" s="33">
        <v>11</v>
      </c>
      <c r="B18" s="24" t="s">
        <v>3</v>
      </c>
      <c r="C18" s="24" t="s">
        <v>223</v>
      </c>
      <c r="D18" s="30" t="s">
        <v>224</v>
      </c>
      <c r="E18" s="30" t="s">
        <v>226</v>
      </c>
      <c r="F18" s="36">
        <v>378</v>
      </c>
      <c r="G18" s="26">
        <v>359.09999999999997</v>
      </c>
      <c r="H18" s="35">
        <f t="shared" si="0"/>
        <v>5.0000000000000093E-2</v>
      </c>
    </row>
    <row r="19" spans="1:8" ht="21" customHeight="1">
      <c r="A19" s="33">
        <v>12</v>
      </c>
      <c r="B19" s="24" t="s">
        <v>3</v>
      </c>
      <c r="C19" s="24" t="s">
        <v>227</v>
      </c>
      <c r="D19" s="34" t="s">
        <v>228</v>
      </c>
      <c r="E19" s="34" t="s">
        <v>229</v>
      </c>
      <c r="F19" s="36">
        <v>30</v>
      </c>
      <c r="G19" s="26">
        <v>24.15</v>
      </c>
      <c r="H19" s="35">
        <f>(F19-G19)/F19</f>
        <v>0.19500000000000003</v>
      </c>
    </row>
    <row r="20" spans="1:8" ht="21" customHeight="1">
      <c r="A20" s="33">
        <v>12</v>
      </c>
      <c r="B20" s="24" t="s">
        <v>3</v>
      </c>
      <c r="C20" s="24" t="s">
        <v>227</v>
      </c>
      <c r="D20" s="34" t="s">
        <v>228</v>
      </c>
      <c r="E20" s="34" t="s">
        <v>230</v>
      </c>
      <c r="F20" s="36">
        <v>70.08</v>
      </c>
      <c r="G20" s="26">
        <v>48.7</v>
      </c>
      <c r="H20" s="35">
        <f>(F20-G20)/F20</f>
        <v>0.30507990867579904</v>
      </c>
    </row>
    <row r="21" spans="1:8" ht="21" customHeight="1">
      <c r="A21" s="33">
        <v>12</v>
      </c>
      <c r="B21" s="24" t="s">
        <v>3</v>
      </c>
      <c r="C21" s="24" t="s">
        <v>227</v>
      </c>
      <c r="D21" s="34" t="s">
        <v>228</v>
      </c>
      <c r="E21" s="34" t="s">
        <v>231</v>
      </c>
      <c r="F21" s="36">
        <v>133.16</v>
      </c>
      <c r="G21" s="26">
        <v>82.79</v>
      </c>
      <c r="H21" s="35">
        <f>(F21-G21)/F21</f>
        <v>0.37826674677080196</v>
      </c>
    </row>
    <row r="22" spans="1:8" ht="21" customHeight="1">
      <c r="A22" s="33">
        <v>13</v>
      </c>
      <c r="B22" s="24" t="s">
        <v>3</v>
      </c>
      <c r="C22" s="24" t="s">
        <v>232</v>
      </c>
      <c r="D22" s="34" t="s">
        <v>233</v>
      </c>
      <c r="E22" s="30" t="s">
        <v>234</v>
      </c>
      <c r="F22" s="31">
        <v>350</v>
      </c>
      <c r="G22" s="26" t="s">
        <v>182</v>
      </c>
      <c r="H22" s="35"/>
    </row>
    <row r="23" spans="1:8" ht="21" customHeight="1">
      <c r="A23" s="33">
        <v>14</v>
      </c>
      <c r="B23" s="24" t="s">
        <v>3</v>
      </c>
      <c r="C23" s="24" t="s">
        <v>235</v>
      </c>
      <c r="D23" s="34" t="s">
        <v>236</v>
      </c>
      <c r="E23" s="34" t="s">
        <v>237</v>
      </c>
      <c r="F23" s="36">
        <v>106.89</v>
      </c>
      <c r="G23" s="36">
        <v>106.89</v>
      </c>
      <c r="H23" s="35">
        <f t="shared" ref="H23:H44" si="1">(F23-G23)/F23</f>
        <v>0</v>
      </c>
    </row>
    <row r="24" spans="1:8" ht="21" customHeight="1">
      <c r="A24" s="33">
        <v>14</v>
      </c>
      <c r="B24" s="24" t="s">
        <v>3</v>
      </c>
      <c r="C24" s="24" t="s">
        <v>235</v>
      </c>
      <c r="D24" s="34" t="s">
        <v>236</v>
      </c>
      <c r="E24" s="34" t="s">
        <v>238</v>
      </c>
      <c r="F24" s="36">
        <v>145.80000000000001</v>
      </c>
      <c r="G24" s="36">
        <v>145.80000000000001</v>
      </c>
      <c r="H24" s="35">
        <f t="shared" si="1"/>
        <v>0</v>
      </c>
    </row>
    <row r="25" spans="1:8" ht="21" customHeight="1">
      <c r="A25" s="33">
        <v>14</v>
      </c>
      <c r="B25" s="24" t="s">
        <v>3</v>
      </c>
      <c r="C25" s="24" t="s">
        <v>235</v>
      </c>
      <c r="D25" s="34" t="s">
        <v>236</v>
      </c>
      <c r="E25" s="34" t="s">
        <v>239</v>
      </c>
      <c r="F25" s="36">
        <v>181.72</v>
      </c>
      <c r="G25" s="36">
        <v>181.72</v>
      </c>
      <c r="H25" s="35">
        <f t="shared" si="1"/>
        <v>0</v>
      </c>
    </row>
    <row r="26" spans="1:8" ht="21" customHeight="1">
      <c r="A26" s="33">
        <v>15</v>
      </c>
      <c r="B26" s="24" t="s">
        <v>3</v>
      </c>
      <c r="C26" s="24" t="s">
        <v>240</v>
      </c>
      <c r="D26" s="34" t="s">
        <v>241</v>
      </c>
      <c r="E26" s="30" t="s">
        <v>242</v>
      </c>
      <c r="F26" s="36">
        <v>40</v>
      </c>
      <c r="G26" s="36">
        <v>40</v>
      </c>
      <c r="H26" s="35">
        <f t="shared" si="1"/>
        <v>0</v>
      </c>
    </row>
    <row r="27" spans="1:8" ht="21" customHeight="1">
      <c r="A27" s="33">
        <v>15</v>
      </c>
      <c r="B27" s="24" t="s">
        <v>3</v>
      </c>
      <c r="C27" s="24" t="s">
        <v>240</v>
      </c>
      <c r="D27" s="34" t="s">
        <v>241</v>
      </c>
      <c r="E27" s="30" t="s">
        <v>243</v>
      </c>
      <c r="F27" s="36">
        <v>81.16</v>
      </c>
      <c r="G27" s="36">
        <v>81.16</v>
      </c>
      <c r="H27" s="35">
        <f t="shared" si="1"/>
        <v>0</v>
      </c>
    </row>
    <row r="28" spans="1:8" ht="21" customHeight="1">
      <c r="A28" s="33">
        <v>16</v>
      </c>
      <c r="B28" s="24" t="s">
        <v>3</v>
      </c>
      <c r="C28" s="24" t="s">
        <v>244</v>
      </c>
      <c r="D28" s="34" t="s">
        <v>245</v>
      </c>
      <c r="E28" s="34" t="s">
        <v>246</v>
      </c>
      <c r="F28" s="36">
        <v>54</v>
      </c>
      <c r="G28" s="36">
        <v>54</v>
      </c>
      <c r="H28" s="35">
        <f t="shared" si="1"/>
        <v>0</v>
      </c>
    </row>
    <row r="29" spans="1:8" ht="21" customHeight="1">
      <c r="A29" s="33">
        <v>17</v>
      </c>
      <c r="B29" s="24" t="s">
        <v>3</v>
      </c>
      <c r="C29" s="24" t="s">
        <v>247</v>
      </c>
      <c r="D29" s="34" t="s">
        <v>248</v>
      </c>
      <c r="E29" s="34" t="s">
        <v>249</v>
      </c>
      <c r="F29" s="36">
        <v>4160</v>
      </c>
      <c r="G29" s="26">
        <v>3452.8</v>
      </c>
      <c r="H29" s="35">
        <f t="shared" si="1"/>
        <v>0.16999999999999996</v>
      </c>
    </row>
    <row r="30" spans="1:8" ht="21" customHeight="1">
      <c r="A30" s="33">
        <v>18</v>
      </c>
      <c r="B30" s="24" t="s">
        <v>3</v>
      </c>
      <c r="C30" s="24" t="s">
        <v>250</v>
      </c>
      <c r="D30" s="34" t="s">
        <v>202</v>
      </c>
      <c r="E30" s="30" t="s">
        <v>251</v>
      </c>
      <c r="F30" s="31">
        <v>78.14</v>
      </c>
      <c r="G30" s="26">
        <v>75.5</v>
      </c>
      <c r="H30" s="35">
        <f t="shared" si="1"/>
        <v>3.3785513181469162E-2</v>
      </c>
    </row>
    <row r="31" spans="1:8" ht="30" customHeight="1">
      <c r="A31" s="33">
        <v>19</v>
      </c>
      <c r="B31" s="24" t="s">
        <v>3</v>
      </c>
      <c r="C31" s="24" t="s">
        <v>252</v>
      </c>
      <c r="D31" s="34" t="s">
        <v>253</v>
      </c>
      <c r="E31" s="30" t="s">
        <v>254</v>
      </c>
      <c r="F31" s="31">
        <v>3950</v>
      </c>
      <c r="G31" s="26" t="s">
        <v>182</v>
      </c>
      <c r="H31" s="35"/>
    </row>
    <row r="32" spans="1:8" ht="21" customHeight="1">
      <c r="A32" s="33">
        <v>20</v>
      </c>
      <c r="B32" s="24" t="s">
        <v>3</v>
      </c>
      <c r="C32" s="24" t="s">
        <v>255</v>
      </c>
      <c r="D32" s="34" t="s">
        <v>256</v>
      </c>
      <c r="E32" s="30" t="s">
        <v>257</v>
      </c>
      <c r="F32" s="31">
        <v>14.47</v>
      </c>
      <c r="G32" s="26" t="s">
        <v>182</v>
      </c>
      <c r="H32" s="35"/>
    </row>
    <row r="33" spans="1:8" ht="21" customHeight="1">
      <c r="A33" s="33">
        <v>20</v>
      </c>
      <c r="B33" s="24" t="s">
        <v>3</v>
      </c>
      <c r="C33" s="24" t="s">
        <v>255</v>
      </c>
      <c r="D33" s="34" t="s">
        <v>256</v>
      </c>
      <c r="E33" s="30" t="s">
        <v>114</v>
      </c>
      <c r="F33" s="31">
        <v>24.6</v>
      </c>
      <c r="G33" s="26" t="s">
        <v>182</v>
      </c>
      <c r="H33" s="35"/>
    </row>
    <row r="34" spans="1:8" ht="21" customHeight="1">
      <c r="A34" s="33">
        <v>20</v>
      </c>
      <c r="B34" s="24" t="s">
        <v>3</v>
      </c>
      <c r="C34" s="24" t="s">
        <v>255</v>
      </c>
      <c r="D34" s="34" t="s">
        <v>256</v>
      </c>
      <c r="E34" s="30" t="s">
        <v>77</v>
      </c>
      <c r="F34" s="31">
        <v>49.61</v>
      </c>
      <c r="G34" s="26" t="s">
        <v>182</v>
      </c>
      <c r="H34" s="35"/>
    </row>
    <row r="35" spans="1:8" ht="21" customHeight="1">
      <c r="A35" s="33">
        <v>21</v>
      </c>
      <c r="B35" s="24" t="s">
        <v>3</v>
      </c>
      <c r="C35" s="24" t="s">
        <v>258</v>
      </c>
      <c r="D35" s="34" t="s">
        <v>259</v>
      </c>
      <c r="E35" s="34" t="s">
        <v>260</v>
      </c>
      <c r="F35" s="36">
        <v>19</v>
      </c>
      <c r="G35" s="26">
        <v>18.05</v>
      </c>
      <c r="H35" s="35">
        <f t="shared" si="1"/>
        <v>4.9999999999999961E-2</v>
      </c>
    </row>
    <row r="36" spans="1:8" ht="21" customHeight="1">
      <c r="A36" s="33">
        <v>22</v>
      </c>
      <c r="B36" s="24" t="s">
        <v>3</v>
      </c>
      <c r="C36" s="24" t="s">
        <v>261</v>
      </c>
      <c r="D36" s="37" t="s">
        <v>262</v>
      </c>
      <c r="E36" s="30" t="s">
        <v>263</v>
      </c>
      <c r="F36" s="31">
        <v>339</v>
      </c>
      <c r="G36" s="26">
        <v>315.27</v>
      </c>
      <c r="H36" s="35">
        <f t="shared" si="1"/>
        <v>7.0000000000000048E-2</v>
      </c>
    </row>
    <row r="37" spans="1:8" ht="21" customHeight="1">
      <c r="A37" s="33">
        <v>23</v>
      </c>
      <c r="B37" s="24" t="s">
        <v>3</v>
      </c>
      <c r="C37" s="24" t="s">
        <v>264</v>
      </c>
      <c r="D37" s="34" t="s">
        <v>265</v>
      </c>
      <c r="E37" s="30" t="s">
        <v>266</v>
      </c>
      <c r="F37" s="31">
        <v>157.65</v>
      </c>
      <c r="G37" s="26" t="s">
        <v>182</v>
      </c>
      <c r="H37" s="35"/>
    </row>
    <row r="38" spans="1:8" ht="21" customHeight="1">
      <c r="A38" s="33">
        <v>23</v>
      </c>
      <c r="B38" s="24" t="s">
        <v>3</v>
      </c>
      <c r="C38" s="24" t="s">
        <v>264</v>
      </c>
      <c r="D38" s="34" t="s">
        <v>265</v>
      </c>
      <c r="E38" s="30" t="s">
        <v>267</v>
      </c>
      <c r="F38" s="31">
        <v>268</v>
      </c>
      <c r="G38" s="26" t="s">
        <v>182</v>
      </c>
      <c r="H38" s="35"/>
    </row>
    <row r="39" spans="1:8" ht="21" customHeight="1">
      <c r="A39" s="33">
        <v>24</v>
      </c>
      <c r="B39" s="24" t="s">
        <v>3</v>
      </c>
      <c r="C39" s="24" t="s">
        <v>268</v>
      </c>
      <c r="D39" s="34" t="s">
        <v>253</v>
      </c>
      <c r="E39" s="30" t="s">
        <v>269</v>
      </c>
      <c r="F39" s="31">
        <v>57.8</v>
      </c>
      <c r="G39" s="26">
        <v>53.75</v>
      </c>
      <c r="H39" s="35">
        <f t="shared" si="1"/>
        <v>7.0069204152249084E-2</v>
      </c>
    </row>
    <row r="40" spans="1:8" ht="21" customHeight="1">
      <c r="A40" s="33">
        <v>25</v>
      </c>
      <c r="B40" s="24" t="s">
        <v>3</v>
      </c>
      <c r="C40" s="24" t="s">
        <v>270</v>
      </c>
      <c r="D40" s="30" t="s">
        <v>271</v>
      </c>
      <c r="E40" s="30" t="s">
        <v>272</v>
      </c>
      <c r="F40" s="31">
        <v>3080</v>
      </c>
      <c r="G40" s="26">
        <v>2710.4</v>
      </c>
      <c r="H40" s="35">
        <f t="shared" si="1"/>
        <v>0.11999999999999997</v>
      </c>
    </row>
    <row r="41" spans="1:8" ht="21" customHeight="1">
      <c r="A41" s="33">
        <v>26</v>
      </c>
      <c r="B41" s="24" t="s">
        <v>3</v>
      </c>
      <c r="C41" s="24" t="s">
        <v>273</v>
      </c>
      <c r="D41" s="30" t="s">
        <v>274</v>
      </c>
      <c r="E41" s="30" t="s">
        <v>6</v>
      </c>
      <c r="F41" s="31">
        <v>47.36</v>
      </c>
      <c r="G41" s="26">
        <v>26.78</v>
      </c>
      <c r="H41" s="35">
        <f t="shared" si="1"/>
        <v>0.43454391891891891</v>
      </c>
    </row>
    <row r="42" spans="1:8" ht="21" customHeight="1">
      <c r="A42" s="33">
        <v>26</v>
      </c>
      <c r="B42" s="24" t="s">
        <v>3</v>
      </c>
      <c r="C42" s="24" t="s">
        <v>273</v>
      </c>
      <c r="D42" s="30" t="s">
        <v>274</v>
      </c>
      <c r="E42" s="30" t="s">
        <v>38</v>
      </c>
      <c r="F42" s="31">
        <v>95.5</v>
      </c>
      <c r="G42" s="26">
        <v>54</v>
      </c>
      <c r="H42" s="35">
        <f t="shared" si="1"/>
        <v>0.43455497382198954</v>
      </c>
    </row>
    <row r="43" spans="1:8" ht="21" customHeight="1">
      <c r="A43" s="33">
        <v>27</v>
      </c>
      <c r="B43" s="24" t="s">
        <v>3</v>
      </c>
      <c r="C43" s="24" t="s">
        <v>275</v>
      </c>
      <c r="D43" s="24" t="s">
        <v>276</v>
      </c>
      <c r="E43" s="30" t="s">
        <v>277</v>
      </c>
      <c r="F43" s="31">
        <v>86</v>
      </c>
      <c r="G43" s="26">
        <v>71.38000000000001</v>
      </c>
      <c r="H43" s="35">
        <f t="shared" si="1"/>
        <v>0.1699999999999999</v>
      </c>
    </row>
    <row r="44" spans="1:8" ht="21" customHeight="1">
      <c r="A44" s="33">
        <v>27</v>
      </c>
      <c r="B44" s="24" t="s">
        <v>3</v>
      </c>
      <c r="C44" s="24" t="s">
        <v>275</v>
      </c>
      <c r="D44" s="24" t="s">
        <v>276</v>
      </c>
      <c r="E44" s="30" t="s">
        <v>278</v>
      </c>
      <c r="F44" s="31">
        <v>146.19999999999999</v>
      </c>
      <c r="G44" s="26">
        <v>121.35000000000001</v>
      </c>
      <c r="H44" s="35">
        <f t="shared" si="1"/>
        <v>0.16997264021887812</v>
      </c>
    </row>
    <row r="45" spans="1:8" ht="21" customHeight="1">
      <c r="A45" s="33">
        <v>28</v>
      </c>
      <c r="B45" s="24" t="s">
        <v>3</v>
      </c>
      <c r="C45" s="24" t="s">
        <v>279</v>
      </c>
      <c r="D45" s="30" t="s">
        <v>209</v>
      </c>
      <c r="E45" s="30" t="s">
        <v>280</v>
      </c>
      <c r="F45" s="31">
        <v>138</v>
      </c>
      <c r="G45" s="26" t="s">
        <v>182</v>
      </c>
      <c r="H45" s="35"/>
    </row>
    <row r="46" spans="1:8" ht="21" customHeight="1">
      <c r="A46" s="33">
        <v>29</v>
      </c>
      <c r="B46" s="24" t="s">
        <v>3</v>
      </c>
      <c r="C46" s="24" t="s">
        <v>281</v>
      </c>
      <c r="D46" s="34" t="s">
        <v>282</v>
      </c>
      <c r="E46" s="34" t="s">
        <v>283</v>
      </c>
      <c r="F46" s="36">
        <v>97</v>
      </c>
      <c r="G46" s="36">
        <v>97</v>
      </c>
      <c r="H46" s="35">
        <f>(F46-G46)/F46</f>
        <v>0</v>
      </c>
    </row>
    <row r="47" spans="1:8" ht="21" customHeight="1">
      <c r="A47" s="33">
        <v>30</v>
      </c>
      <c r="B47" s="24" t="s">
        <v>3</v>
      </c>
      <c r="C47" s="24" t="s">
        <v>284</v>
      </c>
      <c r="D47" s="30" t="s">
        <v>285</v>
      </c>
      <c r="E47" s="30" t="s">
        <v>234</v>
      </c>
      <c r="F47" s="31">
        <v>128</v>
      </c>
      <c r="G47" s="26" t="s">
        <v>182</v>
      </c>
      <c r="H47" s="35"/>
    </row>
    <row r="48" spans="1:8" ht="21" customHeight="1">
      <c r="A48" s="33">
        <v>31</v>
      </c>
      <c r="B48" s="24" t="s">
        <v>3</v>
      </c>
      <c r="C48" s="24" t="s">
        <v>286</v>
      </c>
      <c r="D48" s="34" t="s">
        <v>287</v>
      </c>
      <c r="E48" s="30"/>
      <c r="F48" s="31">
        <v>1435</v>
      </c>
      <c r="G48" s="26">
        <v>1435</v>
      </c>
      <c r="H48" s="35">
        <f>(F48-G48)/F48</f>
        <v>0</v>
      </c>
    </row>
    <row r="49" spans="1:8" ht="21" customHeight="1">
      <c r="A49" s="33">
        <v>32</v>
      </c>
      <c r="B49" s="24" t="s">
        <v>3</v>
      </c>
      <c r="C49" s="24" t="s">
        <v>288</v>
      </c>
      <c r="D49" s="34" t="s">
        <v>289</v>
      </c>
      <c r="E49" s="34" t="s">
        <v>290</v>
      </c>
      <c r="F49" s="36">
        <v>16.2</v>
      </c>
      <c r="G49" s="26">
        <v>16.2</v>
      </c>
      <c r="H49" s="35">
        <f>(F49-G49)/F49</f>
        <v>0</v>
      </c>
    </row>
    <row r="50" spans="1:8" ht="21" customHeight="1">
      <c r="A50" s="33">
        <v>33</v>
      </c>
      <c r="B50" s="24" t="s">
        <v>3</v>
      </c>
      <c r="C50" s="24" t="s">
        <v>291</v>
      </c>
      <c r="D50" s="34" t="s">
        <v>199</v>
      </c>
      <c r="E50" s="30" t="s">
        <v>193</v>
      </c>
      <c r="F50" s="31">
        <v>2200</v>
      </c>
      <c r="G50" s="26" t="s">
        <v>182</v>
      </c>
      <c r="H50" s="35"/>
    </row>
    <row r="51" spans="1:8" ht="21" customHeight="1">
      <c r="A51" s="33">
        <v>34</v>
      </c>
      <c r="B51" s="24" t="s">
        <v>3</v>
      </c>
      <c r="C51" s="24" t="s">
        <v>292</v>
      </c>
      <c r="D51" s="30" t="s">
        <v>209</v>
      </c>
      <c r="E51" s="30" t="s">
        <v>490</v>
      </c>
      <c r="F51" s="31">
        <v>55</v>
      </c>
      <c r="G51" s="26">
        <v>49.5</v>
      </c>
      <c r="H51" s="35">
        <f t="shared" ref="H51:H52" si="2">(F51-G51)/F51</f>
        <v>0.1</v>
      </c>
    </row>
    <row r="52" spans="1:8" ht="21" customHeight="1">
      <c r="A52" s="33">
        <v>35</v>
      </c>
      <c r="B52" s="24" t="s">
        <v>3</v>
      </c>
      <c r="C52" s="24" t="s">
        <v>293</v>
      </c>
      <c r="D52" s="34" t="s">
        <v>202</v>
      </c>
      <c r="E52" s="30" t="s">
        <v>294</v>
      </c>
      <c r="F52" s="31">
        <v>156</v>
      </c>
      <c r="G52" s="26">
        <v>117.5</v>
      </c>
      <c r="H52" s="35">
        <f t="shared" si="2"/>
        <v>0.24679487179487181</v>
      </c>
    </row>
    <row r="53" spans="1:8" ht="21" customHeight="1">
      <c r="A53" s="33">
        <v>36</v>
      </c>
      <c r="B53" s="24" t="s">
        <v>3</v>
      </c>
      <c r="C53" s="24" t="s">
        <v>295</v>
      </c>
      <c r="D53" s="34" t="s">
        <v>296</v>
      </c>
      <c r="E53" s="34" t="s">
        <v>297</v>
      </c>
      <c r="F53" s="36">
        <v>74.8</v>
      </c>
      <c r="G53" s="36">
        <v>74.8</v>
      </c>
      <c r="H53" s="35">
        <f>(F53-G53)/F53</f>
        <v>0</v>
      </c>
    </row>
    <row r="54" spans="1:8" ht="21" customHeight="1">
      <c r="A54" s="33">
        <v>37</v>
      </c>
      <c r="B54" s="24" t="s">
        <v>3</v>
      </c>
      <c r="C54" s="24" t="s">
        <v>298</v>
      </c>
      <c r="D54" s="30" t="s">
        <v>299</v>
      </c>
      <c r="E54" s="30" t="s">
        <v>300</v>
      </c>
      <c r="F54" s="31">
        <v>282</v>
      </c>
      <c r="G54" s="26" t="s">
        <v>182</v>
      </c>
      <c r="H54" s="35"/>
    </row>
    <row r="55" spans="1:8" ht="34.5" customHeight="1">
      <c r="A55" s="33">
        <v>38</v>
      </c>
      <c r="B55" s="24" t="s">
        <v>3</v>
      </c>
      <c r="C55" s="24" t="s">
        <v>301</v>
      </c>
      <c r="D55" s="30" t="s">
        <v>302</v>
      </c>
      <c r="E55" s="30" t="s">
        <v>303</v>
      </c>
      <c r="F55" s="36">
        <v>219</v>
      </c>
      <c r="G55" s="26" t="s">
        <v>182</v>
      </c>
      <c r="H55" s="35"/>
    </row>
    <row r="56" spans="1:8" ht="21" customHeight="1">
      <c r="A56" s="33">
        <v>39</v>
      </c>
      <c r="B56" s="24" t="s">
        <v>3</v>
      </c>
      <c r="C56" s="24" t="s">
        <v>304</v>
      </c>
      <c r="D56" s="24" t="s">
        <v>305</v>
      </c>
      <c r="E56" s="34" t="s">
        <v>306</v>
      </c>
      <c r="F56" s="36">
        <v>343</v>
      </c>
      <c r="G56" s="26">
        <v>343</v>
      </c>
      <c r="H56" s="35">
        <f>(F56-G56)/F56</f>
        <v>0</v>
      </c>
    </row>
    <row r="57" spans="1:8" ht="21" customHeight="1">
      <c r="A57" s="33">
        <v>40</v>
      </c>
      <c r="B57" s="24" t="s">
        <v>3</v>
      </c>
      <c r="C57" s="24" t="s">
        <v>307</v>
      </c>
      <c r="D57" s="37" t="s">
        <v>308</v>
      </c>
      <c r="E57" s="30" t="s">
        <v>309</v>
      </c>
      <c r="F57" s="31">
        <v>68</v>
      </c>
      <c r="G57" s="26">
        <v>63.24</v>
      </c>
      <c r="H57" s="35">
        <f>(F57-G57)/F57</f>
        <v>6.9999999999999965E-2</v>
      </c>
    </row>
    <row r="58" spans="1:8" ht="21" customHeight="1">
      <c r="A58" s="33">
        <v>41</v>
      </c>
      <c r="B58" s="24" t="s">
        <v>3</v>
      </c>
      <c r="C58" s="24" t="s">
        <v>310</v>
      </c>
      <c r="D58" s="34" t="s">
        <v>253</v>
      </c>
      <c r="E58" s="30" t="s">
        <v>77</v>
      </c>
      <c r="F58" s="31">
        <v>76.47</v>
      </c>
      <c r="G58" s="26" t="s">
        <v>182</v>
      </c>
      <c r="H58" s="35"/>
    </row>
    <row r="59" spans="1:8" ht="21" customHeight="1">
      <c r="A59" s="33">
        <v>41</v>
      </c>
      <c r="B59" s="24" t="s">
        <v>3</v>
      </c>
      <c r="C59" s="24" t="s">
        <v>310</v>
      </c>
      <c r="D59" s="34" t="s">
        <v>253</v>
      </c>
      <c r="E59" s="30" t="s">
        <v>311</v>
      </c>
      <c r="F59" s="31">
        <v>130</v>
      </c>
      <c r="G59" s="26" t="s">
        <v>182</v>
      </c>
      <c r="H59" s="35"/>
    </row>
    <row r="60" spans="1:8" ht="21" customHeight="1">
      <c r="A60" s="33">
        <v>42</v>
      </c>
      <c r="B60" s="24" t="s">
        <v>3</v>
      </c>
      <c r="C60" s="24" t="s">
        <v>312</v>
      </c>
      <c r="D60" s="30" t="s">
        <v>313</v>
      </c>
      <c r="E60" s="30" t="s">
        <v>314</v>
      </c>
      <c r="F60" s="31">
        <v>7.65</v>
      </c>
      <c r="G60" s="26" t="s">
        <v>182</v>
      </c>
      <c r="H60" s="35"/>
    </row>
    <row r="61" spans="1:8" ht="21" customHeight="1">
      <c r="A61" s="33">
        <v>43</v>
      </c>
      <c r="B61" s="24" t="s">
        <v>3</v>
      </c>
      <c r="C61" s="24" t="s">
        <v>315</v>
      </c>
      <c r="D61" s="24" t="s">
        <v>316</v>
      </c>
      <c r="E61" s="34" t="s">
        <v>317</v>
      </c>
      <c r="F61" s="36">
        <v>490</v>
      </c>
      <c r="G61" s="26">
        <v>490</v>
      </c>
      <c r="H61" s="35">
        <f>(F61-G61)/F61</f>
        <v>0</v>
      </c>
    </row>
    <row r="62" spans="1:8" ht="21" customHeight="1">
      <c r="A62" s="33">
        <v>44</v>
      </c>
      <c r="B62" s="24" t="s">
        <v>3</v>
      </c>
      <c r="C62" s="24" t="s">
        <v>318</v>
      </c>
      <c r="D62" s="30" t="s">
        <v>319</v>
      </c>
      <c r="E62" s="30" t="s">
        <v>320</v>
      </c>
      <c r="F62" s="36">
        <v>325</v>
      </c>
      <c r="G62" s="36">
        <v>325</v>
      </c>
      <c r="H62" s="35">
        <f>(F62-G62)/F62</f>
        <v>0</v>
      </c>
    </row>
    <row r="63" spans="1:8" ht="21" customHeight="1">
      <c r="A63" s="33">
        <v>45</v>
      </c>
      <c r="B63" s="24" t="s">
        <v>3</v>
      </c>
      <c r="C63" s="24" t="s">
        <v>321</v>
      </c>
      <c r="D63" s="30" t="s">
        <v>322</v>
      </c>
      <c r="E63" s="30" t="s">
        <v>323</v>
      </c>
      <c r="F63" s="36">
        <v>156</v>
      </c>
      <c r="G63" s="26">
        <v>71</v>
      </c>
      <c r="H63" s="35">
        <f>(F63-G63)/F63</f>
        <v>0.54487179487179482</v>
      </c>
    </row>
    <row r="64" spans="1:8" ht="21" customHeight="1">
      <c r="A64" s="33">
        <v>46</v>
      </c>
      <c r="B64" s="24" t="s">
        <v>3</v>
      </c>
      <c r="C64" s="24" t="s">
        <v>324</v>
      </c>
      <c r="D64" s="34" t="s">
        <v>313</v>
      </c>
      <c r="E64" s="30" t="s">
        <v>309</v>
      </c>
      <c r="F64" s="31">
        <v>1406</v>
      </c>
      <c r="G64" s="26" t="s">
        <v>182</v>
      </c>
      <c r="H64" s="35"/>
    </row>
    <row r="65" spans="1:8" ht="21" customHeight="1">
      <c r="A65" s="33">
        <v>47</v>
      </c>
      <c r="B65" s="24" t="s">
        <v>3</v>
      </c>
      <c r="C65" s="24" t="s">
        <v>325</v>
      </c>
      <c r="D65" s="34" t="s">
        <v>326</v>
      </c>
      <c r="E65" s="30" t="s">
        <v>234</v>
      </c>
      <c r="F65" s="31">
        <v>2006.8</v>
      </c>
      <c r="G65" s="26" t="s">
        <v>182</v>
      </c>
      <c r="H65" s="35"/>
    </row>
    <row r="66" spans="1:8" ht="21" customHeight="1">
      <c r="A66" s="33">
        <v>48</v>
      </c>
      <c r="B66" s="24" t="s">
        <v>3</v>
      </c>
      <c r="C66" s="24" t="s">
        <v>327</v>
      </c>
      <c r="D66" s="34" t="s">
        <v>328</v>
      </c>
      <c r="E66" s="30" t="s">
        <v>329</v>
      </c>
      <c r="F66" s="31">
        <v>100</v>
      </c>
      <c r="G66" s="26" t="s">
        <v>182</v>
      </c>
      <c r="H66" s="35"/>
    </row>
    <row r="67" spans="1:8" ht="21" customHeight="1">
      <c r="A67" s="33">
        <v>49</v>
      </c>
      <c r="B67" s="24" t="s">
        <v>3</v>
      </c>
      <c r="C67" s="24" t="s">
        <v>330</v>
      </c>
      <c r="D67" s="34" t="s">
        <v>331</v>
      </c>
      <c r="E67" s="34" t="s">
        <v>332</v>
      </c>
      <c r="F67" s="36">
        <v>445</v>
      </c>
      <c r="G67" s="26">
        <v>445</v>
      </c>
      <c r="H67" s="35">
        <f>(F67-G67)/F67</f>
        <v>0</v>
      </c>
    </row>
    <row r="68" spans="1:8" ht="21" customHeight="1">
      <c r="A68" s="33">
        <v>50</v>
      </c>
      <c r="B68" s="24" t="s">
        <v>3</v>
      </c>
      <c r="C68" s="24" t="s">
        <v>333</v>
      </c>
      <c r="D68" s="30" t="s">
        <v>334</v>
      </c>
      <c r="E68" s="34" t="s">
        <v>269</v>
      </c>
      <c r="F68" s="36">
        <v>508</v>
      </c>
      <c r="G68" s="36">
        <v>508</v>
      </c>
      <c r="H68" s="35">
        <f>(F68-G68)/F68</f>
        <v>0</v>
      </c>
    </row>
    <row r="69" spans="1:8" ht="38.25" customHeight="1">
      <c r="A69" s="33">
        <v>51</v>
      </c>
      <c r="B69" s="24" t="s">
        <v>3</v>
      </c>
      <c r="C69" s="24" t="s">
        <v>335</v>
      </c>
      <c r="D69" s="34" t="s">
        <v>336</v>
      </c>
      <c r="E69" s="30" t="s">
        <v>114</v>
      </c>
      <c r="F69" s="31">
        <v>5500</v>
      </c>
      <c r="G69" s="26">
        <v>4220</v>
      </c>
      <c r="H69" s="35">
        <f t="shared" ref="H69:H70" si="3">(F69-G69)/F69</f>
        <v>0.23272727272727273</v>
      </c>
    </row>
    <row r="70" spans="1:8" ht="21" customHeight="1">
      <c r="A70" s="33">
        <v>51</v>
      </c>
      <c r="B70" s="24" t="s">
        <v>3</v>
      </c>
      <c r="C70" s="24" t="s">
        <v>335</v>
      </c>
      <c r="D70" s="34" t="s">
        <v>336</v>
      </c>
      <c r="E70" s="30" t="s">
        <v>491</v>
      </c>
      <c r="F70" s="31">
        <v>9350</v>
      </c>
      <c r="G70" s="26">
        <v>7174</v>
      </c>
      <c r="H70" s="35">
        <f t="shared" si="3"/>
        <v>0.23272727272727273</v>
      </c>
    </row>
    <row r="71" spans="1:8" ht="21" customHeight="1">
      <c r="A71" s="33">
        <v>52</v>
      </c>
      <c r="B71" s="24" t="s">
        <v>3</v>
      </c>
      <c r="C71" s="24" t="s">
        <v>337</v>
      </c>
      <c r="D71" s="30" t="s">
        <v>338</v>
      </c>
      <c r="E71" s="34" t="s">
        <v>339</v>
      </c>
      <c r="F71" s="36">
        <v>1399</v>
      </c>
      <c r="G71" s="26" t="s">
        <v>182</v>
      </c>
      <c r="H71" s="35"/>
    </row>
    <row r="72" spans="1:8" ht="21" customHeight="1">
      <c r="A72" s="33">
        <v>53</v>
      </c>
      <c r="B72" s="24" t="s">
        <v>167</v>
      </c>
      <c r="C72" s="24" t="s">
        <v>340</v>
      </c>
      <c r="D72" s="34" t="s">
        <v>341</v>
      </c>
      <c r="E72" s="30" t="s">
        <v>342</v>
      </c>
      <c r="F72" s="36">
        <v>2.93</v>
      </c>
      <c r="G72" s="36">
        <v>2.93</v>
      </c>
      <c r="H72" s="35">
        <f t="shared" ref="H72:H93" si="4">(F72-G72)/F72</f>
        <v>0</v>
      </c>
    </row>
    <row r="73" spans="1:8" s="14" customFormat="1" ht="38.25" customHeight="1">
      <c r="A73" s="33">
        <v>54</v>
      </c>
      <c r="B73" s="24" t="s">
        <v>167</v>
      </c>
      <c r="C73" s="24" t="s">
        <v>343</v>
      </c>
      <c r="D73" s="34" t="s">
        <v>344</v>
      </c>
      <c r="E73" s="30" t="s">
        <v>345</v>
      </c>
      <c r="F73" s="36">
        <v>1.44</v>
      </c>
      <c r="G73" s="26">
        <v>1.3</v>
      </c>
      <c r="H73" s="35">
        <f t="shared" si="4"/>
        <v>9.7222222222222154E-2</v>
      </c>
    </row>
    <row r="74" spans="1:8" ht="21" customHeight="1">
      <c r="A74" s="33">
        <v>55</v>
      </c>
      <c r="B74" s="24" t="s">
        <v>167</v>
      </c>
      <c r="C74" s="24" t="s">
        <v>346</v>
      </c>
      <c r="D74" s="34" t="s">
        <v>347</v>
      </c>
      <c r="E74" s="34" t="s">
        <v>348</v>
      </c>
      <c r="F74" s="36">
        <v>6.18</v>
      </c>
      <c r="G74" s="36">
        <v>6.18</v>
      </c>
      <c r="H74" s="35">
        <f t="shared" si="4"/>
        <v>0</v>
      </c>
    </row>
    <row r="75" spans="1:8" ht="21" customHeight="1">
      <c r="A75" s="33">
        <v>56</v>
      </c>
      <c r="B75" s="24" t="s">
        <v>167</v>
      </c>
      <c r="C75" s="24" t="s">
        <v>349</v>
      </c>
      <c r="D75" s="34" t="s">
        <v>350</v>
      </c>
      <c r="E75" s="34" t="s">
        <v>351</v>
      </c>
      <c r="F75" s="36">
        <v>0.19</v>
      </c>
      <c r="G75" s="36">
        <v>0.19</v>
      </c>
      <c r="H75" s="35">
        <f t="shared" si="4"/>
        <v>0</v>
      </c>
    </row>
    <row r="76" spans="1:8" ht="21" customHeight="1">
      <c r="A76" s="33">
        <v>57</v>
      </c>
      <c r="B76" s="24" t="s">
        <v>167</v>
      </c>
      <c r="C76" s="24" t="s">
        <v>352</v>
      </c>
      <c r="D76" s="34" t="s">
        <v>353</v>
      </c>
      <c r="E76" s="34" t="s">
        <v>354</v>
      </c>
      <c r="F76" s="36">
        <v>6.49</v>
      </c>
      <c r="G76" s="36">
        <v>6.49</v>
      </c>
      <c r="H76" s="35">
        <f t="shared" si="4"/>
        <v>0</v>
      </c>
    </row>
    <row r="77" spans="1:8" ht="21" customHeight="1">
      <c r="A77" s="33">
        <v>58</v>
      </c>
      <c r="B77" s="24" t="s">
        <v>167</v>
      </c>
      <c r="C77" s="24" t="s">
        <v>355</v>
      </c>
      <c r="D77" s="34" t="s">
        <v>356</v>
      </c>
      <c r="E77" s="34" t="s">
        <v>357</v>
      </c>
      <c r="F77" s="36">
        <v>10.19</v>
      </c>
      <c r="G77" s="36">
        <v>10.19</v>
      </c>
      <c r="H77" s="35">
        <f t="shared" si="4"/>
        <v>0</v>
      </c>
    </row>
    <row r="78" spans="1:8" ht="21" customHeight="1">
      <c r="A78" s="33">
        <v>59</v>
      </c>
      <c r="B78" s="24" t="s">
        <v>167</v>
      </c>
      <c r="C78" s="24" t="s">
        <v>358</v>
      </c>
      <c r="D78" s="34" t="s">
        <v>359</v>
      </c>
      <c r="E78" s="30" t="s">
        <v>360</v>
      </c>
      <c r="F78" s="36">
        <v>4.79</v>
      </c>
      <c r="G78" s="36">
        <v>4.79</v>
      </c>
      <c r="H78" s="35">
        <f t="shared" si="4"/>
        <v>0</v>
      </c>
    </row>
    <row r="79" spans="1:8" ht="21" customHeight="1">
      <c r="A79" s="33">
        <v>60</v>
      </c>
      <c r="B79" s="24" t="s">
        <v>167</v>
      </c>
      <c r="C79" s="24" t="s">
        <v>361</v>
      </c>
      <c r="D79" s="34" t="s">
        <v>362</v>
      </c>
      <c r="E79" s="30" t="s">
        <v>363</v>
      </c>
      <c r="F79" s="36">
        <v>1.38</v>
      </c>
      <c r="G79" s="36">
        <v>1.38</v>
      </c>
      <c r="H79" s="35">
        <f t="shared" si="4"/>
        <v>0</v>
      </c>
    </row>
    <row r="80" spans="1:8" ht="21" customHeight="1">
      <c r="A80" s="33">
        <v>61</v>
      </c>
      <c r="B80" s="24" t="s">
        <v>167</v>
      </c>
      <c r="C80" s="24" t="s">
        <v>364</v>
      </c>
      <c r="D80" s="34" t="s">
        <v>365</v>
      </c>
      <c r="E80" s="30" t="s">
        <v>360</v>
      </c>
      <c r="F80" s="36">
        <v>4.16</v>
      </c>
      <c r="G80" s="36">
        <v>4.16</v>
      </c>
      <c r="H80" s="35">
        <f t="shared" si="4"/>
        <v>0</v>
      </c>
    </row>
    <row r="81" spans="1:8" ht="21" customHeight="1">
      <c r="A81" s="33">
        <v>62</v>
      </c>
      <c r="B81" s="24" t="s">
        <v>167</v>
      </c>
      <c r="C81" s="24" t="s">
        <v>366</v>
      </c>
      <c r="D81" s="34" t="s">
        <v>367</v>
      </c>
      <c r="E81" s="30" t="s">
        <v>368</v>
      </c>
      <c r="F81" s="36">
        <v>7.5</v>
      </c>
      <c r="G81" s="36">
        <v>7.5</v>
      </c>
      <c r="H81" s="35">
        <f t="shared" si="4"/>
        <v>0</v>
      </c>
    </row>
    <row r="82" spans="1:8" ht="21" customHeight="1">
      <c r="A82" s="33">
        <v>63</v>
      </c>
      <c r="B82" s="24" t="s">
        <v>167</v>
      </c>
      <c r="C82" s="24" t="s">
        <v>369</v>
      </c>
      <c r="D82" s="34" t="s">
        <v>370</v>
      </c>
      <c r="E82" s="34" t="s">
        <v>371</v>
      </c>
      <c r="F82" s="36">
        <v>2.1</v>
      </c>
      <c r="G82" s="26">
        <v>1.83</v>
      </c>
      <c r="H82" s="35">
        <f t="shared" si="4"/>
        <v>0.12857142857142859</v>
      </c>
    </row>
    <row r="83" spans="1:8" ht="21" customHeight="1">
      <c r="A83" s="33">
        <v>64</v>
      </c>
      <c r="B83" s="24" t="s">
        <v>167</v>
      </c>
      <c r="C83" s="24" t="s">
        <v>372</v>
      </c>
      <c r="D83" s="34" t="s">
        <v>373</v>
      </c>
      <c r="E83" s="34" t="s">
        <v>371</v>
      </c>
      <c r="F83" s="36">
        <v>0.69</v>
      </c>
      <c r="G83" s="36">
        <v>0.69</v>
      </c>
      <c r="H83" s="35">
        <f t="shared" si="4"/>
        <v>0</v>
      </c>
    </row>
    <row r="84" spans="1:8" ht="21" customHeight="1">
      <c r="A84" s="33">
        <v>65</v>
      </c>
      <c r="B84" s="24" t="s">
        <v>167</v>
      </c>
      <c r="C84" s="24" t="s">
        <v>374</v>
      </c>
      <c r="D84" s="34" t="s">
        <v>375</v>
      </c>
      <c r="E84" s="34"/>
      <c r="F84" s="31">
        <v>3.98</v>
      </c>
      <c r="G84" s="31">
        <v>3.98</v>
      </c>
      <c r="H84" s="35">
        <f t="shared" si="4"/>
        <v>0</v>
      </c>
    </row>
    <row r="85" spans="1:8" ht="21" customHeight="1">
      <c r="A85" s="33">
        <v>66</v>
      </c>
      <c r="B85" s="24" t="s">
        <v>167</v>
      </c>
      <c r="C85" s="24" t="s">
        <v>376</v>
      </c>
      <c r="D85" s="34" t="s">
        <v>377</v>
      </c>
      <c r="E85" s="34" t="s">
        <v>378</v>
      </c>
      <c r="F85" s="36">
        <v>163</v>
      </c>
      <c r="G85" s="36">
        <v>163</v>
      </c>
      <c r="H85" s="35">
        <f t="shared" si="4"/>
        <v>0</v>
      </c>
    </row>
    <row r="86" spans="1:8" ht="21" customHeight="1">
      <c r="A86" s="33">
        <v>67</v>
      </c>
      <c r="B86" s="24" t="s">
        <v>167</v>
      </c>
      <c r="C86" s="24" t="s">
        <v>379</v>
      </c>
      <c r="D86" s="34" t="s">
        <v>380</v>
      </c>
      <c r="E86" s="30" t="s">
        <v>345</v>
      </c>
      <c r="F86" s="36">
        <v>4.3</v>
      </c>
      <c r="G86" s="36">
        <v>4.09</v>
      </c>
      <c r="H86" s="35">
        <f t="shared" si="4"/>
        <v>4.8837209302325574E-2</v>
      </c>
    </row>
    <row r="87" spans="1:8" ht="21" customHeight="1">
      <c r="A87" s="33">
        <v>68</v>
      </c>
      <c r="B87" s="24" t="s">
        <v>167</v>
      </c>
      <c r="C87" s="24" t="s">
        <v>381</v>
      </c>
      <c r="D87" s="34" t="s">
        <v>382</v>
      </c>
      <c r="E87" s="34" t="s">
        <v>383</v>
      </c>
      <c r="F87" s="36">
        <v>16.5</v>
      </c>
      <c r="G87" s="36">
        <v>16.5</v>
      </c>
      <c r="H87" s="35">
        <f t="shared" si="4"/>
        <v>0</v>
      </c>
    </row>
    <row r="88" spans="1:8" ht="21" customHeight="1">
      <c r="A88" s="33">
        <v>69</v>
      </c>
      <c r="B88" s="24" t="s">
        <v>167</v>
      </c>
      <c r="C88" s="24" t="s">
        <v>384</v>
      </c>
      <c r="D88" s="34" t="s">
        <v>385</v>
      </c>
      <c r="E88" s="34" t="s">
        <v>386</v>
      </c>
      <c r="F88" s="36">
        <v>22.08</v>
      </c>
      <c r="G88" s="36">
        <v>22.08</v>
      </c>
      <c r="H88" s="35">
        <f t="shared" si="4"/>
        <v>0</v>
      </c>
    </row>
    <row r="89" spans="1:8" ht="21" customHeight="1">
      <c r="A89" s="33">
        <v>70</v>
      </c>
      <c r="B89" s="24" t="s">
        <v>167</v>
      </c>
      <c r="C89" s="24" t="s">
        <v>387</v>
      </c>
      <c r="D89" s="34" t="s">
        <v>388</v>
      </c>
      <c r="E89" s="34" t="s">
        <v>389</v>
      </c>
      <c r="F89" s="36">
        <v>93.7</v>
      </c>
      <c r="G89" s="36">
        <v>93.7</v>
      </c>
      <c r="H89" s="35">
        <f t="shared" si="4"/>
        <v>0</v>
      </c>
    </row>
    <row r="90" spans="1:8" ht="21" customHeight="1">
      <c r="A90" s="33">
        <v>71</v>
      </c>
      <c r="B90" s="24" t="s">
        <v>167</v>
      </c>
      <c r="C90" s="24" t="s">
        <v>390</v>
      </c>
      <c r="D90" s="34" t="s">
        <v>391</v>
      </c>
      <c r="E90" s="34" t="s">
        <v>392</v>
      </c>
      <c r="F90" s="36">
        <v>19.68</v>
      </c>
      <c r="G90" s="36">
        <v>19.68</v>
      </c>
      <c r="H90" s="35">
        <f t="shared" si="4"/>
        <v>0</v>
      </c>
    </row>
    <row r="91" spans="1:8" ht="21" customHeight="1">
      <c r="A91" s="33">
        <v>72</v>
      </c>
      <c r="B91" s="24" t="s">
        <v>167</v>
      </c>
      <c r="C91" s="24" t="s">
        <v>393</v>
      </c>
      <c r="D91" s="34" t="s">
        <v>334</v>
      </c>
      <c r="E91" s="34" t="s">
        <v>394</v>
      </c>
      <c r="F91" s="36">
        <v>58.5</v>
      </c>
      <c r="G91" s="26">
        <v>54.41</v>
      </c>
      <c r="H91" s="35">
        <f t="shared" si="4"/>
        <v>6.9914529914529969E-2</v>
      </c>
    </row>
    <row r="92" spans="1:8" ht="21" customHeight="1">
      <c r="A92" s="33">
        <v>73</v>
      </c>
      <c r="B92" s="24" t="s">
        <v>167</v>
      </c>
      <c r="C92" s="24" t="s">
        <v>395</v>
      </c>
      <c r="D92" s="34" t="s">
        <v>396</v>
      </c>
      <c r="E92" s="34" t="s">
        <v>290</v>
      </c>
      <c r="F92" s="36">
        <v>200</v>
      </c>
      <c r="G92" s="36">
        <v>200</v>
      </c>
      <c r="H92" s="35">
        <f t="shared" si="4"/>
        <v>0</v>
      </c>
    </row>
    <row r="93" spans="1:8" ht="25.5" customHeight="1">
      <c r="A93" s="33">
        <v>74</v>
      </c>
      <c r="B93" s="24" t="s">
        <v>167</v>
      </c>
      <c r="C93" s="24" t="s">
        <v>397</v>
      </c>
      <c r="D93" s="34" t="s">
        <v>398</v>
      </c>
      <c r="E93" s="30" t="s">
        <v>399</v>
      </c>
      <c r="F93" s="36">
        <v>16.5</v>
      </c>
      <c r="G93" s="36">
        <v>16.5</v>
      </c>
      <c r="H93" s="35">
        <f t="shared" si="4"/>
        <v>0</v>
      </c>
    </row>
    <row r="94" spans="1:8" ht="65.25" customHeight="1">
      <c r="A94" s="42" t="s">
        <v>400</v>
      </c>
      <c r="B94" s="42"/>
      <c r="C94" s="42"/>
      <c r="D94" s="42"/>
      <c r="E94" s="42"/>
      <c r="F94" s="42"/>
      <c r="G94" s="42"/>
      <c r="H94" s="42"/>
    </row>
    <row r="95" spans="1:8" ht="90.75" customHeight="1">
      <c r="A95" s="41" t="s">
        <v>177</v>
      </c>
      <c r="B95" s="41"/>
      <c r="C95" s="41"/>
      <c r="D95" s="41"/>
      <c r="E95" s="41"/>
      <c r="F95" s="41"/>
      <c r="G95" s="41"/>
      <c r="H95" s="41"/>
    </row>
    <row r="96" spans="1:8" ht="47.25" customHeight="1">
      <c r="A96" s="19" t="s">
        <v>178</v>
      </c>
      <c r="B96" s="19" t="s">
        <v>186</v>
      </c>
      <c r="C96" s="19" t="s">
        <v>179</v>
      </c>
      <c r="D96" s="19" t="s">
        <v>187</v>
      </c>
      <c r="E96" s="19" t="s">
        <v>188</v>
      </c>
      <c r="F96" s="20" t="s">
        <v>189</v>
      </c>
      <c r="G96" s="20" t="s">
        <v>190</v>
      </c>
      <c r="H96" s="19" t="s">
        <v>181</v>
      </c>
    </row>
    <row r="97" spans="1:8" ht="21" customHeight="1">
      <c r="A97" s="33">
        <v>1</v>
      </c>
      <c r="B97" s="24" t="s">
        <v>3</v>
      </c>
      <c r="C97" s="38" t="s">
        <v>401</v>
      </c>
      <c r="D97" s="30" t="s">
        <v>402</v>
      </c>
      <c r="E97" s="30" t="s">
        <v>226</v>
      </c>
      <c r="F97" s="36">
        <v>2.56</v>
      </c>
      <c r="G97" s="26" t="s">
        <v>182</v>
      </c>
      <c r="H97" s="35"/>
    </row>
    <row r="98" spans="1:8" ht="21" customHeight="1">
      <c r="A98" s="33">
        <v>1</v>
      </c>
      <c r="B98" s="24" t="s">
        <v>3</v>
      </c>
      <c r="C98" s="38" t="s">
        <v>401</v>
      </c>
      <c r="D98" s="30" t="s">
        <v>402</v>
      </c>
      <c r="E98" s="30" t="s">
        <v>323</v>
      </c>
      <c r="F98" s="36">
        <v>4.3600000000000003</v>
      </c>
      <c r="G98" s="26" t="s">
        <v>182</v>
      </c>
      <c r="H98" s="35"/>
    </row>
    <row r="99" spans="1:8" ht="21" customHeight="1">
      <c r="A99" s="33">
        <v>2</v>
      </c>
      <c r="B99" s="24" t="s">
        <v>3</v>
      </c>
      <c r="C99" s="38" t="s">
        <v>403</v>
      </c>
      <c r="D99" s="15" t="s">
        <v>404</v>
      </c>
      <c r="E99" s="15" t="s">
        <v>20</v>
      </c>
      <c r="F99" s="16">
        <v>200</v>
      </c>
      <c r="G99" s="26">
        <v>152.80000000000001</v>
      </c>
      <c r="H99" s="35">
        <f t="shared" ref="H99:H120" si="5">(F99-G99)/F99</f>
        <v>0.23599999999999993</v>
      </c>
    </row>
    <row r="100" spans="1:8" ht="21" customHeight="1">
      <c r="A100" s="33">
        <v>3</v>
      </c>
      <c r="B100" s="24" t="s">
        <v>3</v>
      </c>
      <c r="C100" s="24" t="s">
        <v>405</v>
      </c>
      <c r="D100" s="24" t="s">
        <v>276</v>
      </c>
      <c r="E100" s="34" t="s">
        <v>406</v>
      </c>
      <c r="F100" s="36">
        <v>115</v>
      </c>
      <c r="G100" s="26" t="s">
        <v>182</v>
      </c>
      <c r="H100" s="35"/>
    </row>
    <row r="101" spans="1:8" ht="21" customHeight="1">
      <c r="A101" s="33">
        <v>3</v>
      </c>
      <c r="B101" s="24" t="s">
        <v>3</v>
      </c>
      <c r="C101" s="24" t="s">
        <v>405</v>
      </c>
      <c r="D101" s="24" t="s">
        <v>276</v>
      </c>
      <c r="E101" s="34" t="s">
        <v>407</v>
      </c>
      <c r="F101" s="36">
        <v>156.86000000000001</v>
      </c>
      <c r="G101" s="26" t="s">
        <v>182</v>
      </c>
      <c r="H101" s="35"/>
    </row>
    <row r="102" spans="1:8" ht="21" customHeight="1">
      <c r="A102" s="33">
        <v>3</v>
      </c>
      <c r="B102" s="24" t="s">
        <v>3</v>
      </c>
      <c r="C102" s="24" t="s">
        <v>405</v>
      </c>
      <c r="D102" s="24" t="s">
        <v>276</v>
      </c>
      <c r="E102" s="34" t="s">
        <v>408</v>
      </c>
      <c r="F102" s="36">
        <v>172.63</v>
      </c>
      <c r="G102" s="26" t="s">
        <v>182</v>
      </c>
      <c r="H102" s="35"/>
    </row>
    <row r="103" spans="1:8" ht="21" customHeight="1">
      <c r="A103" s="33">
        <v>4</v>
      </c>
      <c r="B103" s="24" t="s">
        <v>3</v>
      </c>
      <c r="C103" s="38" t="s">
        <v>409</v>
      </c>
      <c r="D103" s="25" t="s">
        <v>313</v>
      </c>
      <c r="E103" s="25" t="s">
        <v>38</v>
      </c>
      <c r="F103" s="31"/>
      <c r="G103" s="26">
        <v>31.81</v>
      </c>
      <c r="H103" s="35"/>
    </row>
    <row r="104" spans="1:8" ht="21" customHeight="1">
      <c r="A104" s="33">
        <v>4</v>
      </c>
      <c r="B104" s="24" t="s">
        <v>3</v>
      </c>
      <c r="C104" s="38" t="s">
        <v>409</v>
      </c>
      <c r="D104" s="25" t="s">
        <v>313</v>
      </c>
      <c r="E104" s="25" t="s">
        <v>134</v>
      </c>
      <c r="F104" s="31">
        <v>74.36</v>
      </c>
      <c r="G104" s="26">
        <v>73.75</v>
      </c>
      <c r="H104" s="35">
        <f t="shared" si="5"/>
        <v>8.2033351264120414E-3</v>
      </c>
    </row>
    <row r="105" spans="1:8" ht="34.5" customHeight="1">
      <c r="A105" s="33">
        <v>4</v>
      </c>
      <c r="B105" s="24" t="s">
        <v>3</v>
      </c>
      <c r="C105" s="38" t="s">
        <v>409</v>
      </c>
      <c r="D105" s="25" t="s">
        <v>313</v>
      </c>
      <c r="E105" s="25" t="s">
        <v>492</v>
      </c>
      <c r="F105" s="31">
        <v>92.68</v>
      </c>
      <c r="G105" s="26">
        <v>91.92</v>
      </c>
      <c r="H105" s="35">
        <f t="shared" si="5"/>
        <v>8.2002589555460192E-3</v>
      </c>
    </row>
    <row r="106" spans="1:8" ht="21" customHeight="1">
      <c r="A106" s="33">
        <v>5</v>
      </c>
      <c r="B106" s="24" t="s">
        <v>3</v>
      </c>
      <c r="C106" s="24" t="s">
        <v>410</v>
      </c>
      <c r="D106" s="37" t="s">
        <v>308</v>
      </c>
      <c r="E106" s="30" t="s">
        <v>411</v>
      </c>
      <c r="F106" s="31">
        <v>4955</v>
      </c>
      <c r="G106" s="26"/>
      <c r="H106" s="35"/>
    </row>
    <row r="107" spans="1:8" ht="21" customHeight="1">
      <c r="A107" s="33">
        <v>6</v>
      </c>
      <c r="B107" s="24" t="s">
        <v>3</v>
      </c>
      <c r="C107" s="24" t="s">
        <v>412</v>
      </c>
      <c r="D107" s="30" t="s">
        <v>313</v>
      </c>
      <c r="E107" s="30" t="s">
        <v>493</v>
      </c>
      <c r="F107" s="31"/>
      <c r="G107" s="26">
        <v>1.8699999999999999</v>
      </c>
      <c r="H107" s="35"/>
    </row>
    <row r="108" spans="1:8" ht="21" customHeight="1">
      <c r="A108" s="33">
        <v>6</v>
      </c>
      <c r="B108" s="24" t="s">
        <v>3</v>
      </c>
      <c r="C108" s="24" t="s">
        <v>412</v>
      </c>
      <c r="D108" s="30" t="s">
        <v>313</v>
      </c>
      <c r="E108" s="30" t="s">
        <v>413</v>
      </c>
      <c r="F108" s="31">
        <v>5.85</v>
      </c>
      <c r="G108" s="26">
        <v>3.18</v>
      </c>
      <c r="H108" s="35">
        <f t="shared" si="5"/>
        <v>0.45641025641025634</v>
      </c>
    </row>
    <row r="109" spans="1:8" ht="21" customHeight="1">
      <c r="A109" s="33">
        <v>6</v>
      </c>
      <c r="B109" s="24" t="s">
        <v>3</v>
      </c>
      <c r="C109" s="24" t="s">
        <v>412</v>
      </c>
      <c r="D109" s="30" t="s">
        <v>313</v>
      </c>
      <c r="E109" s="30" t="s">
        <v>494</v>
      </c>
      <c r="F109" s="31"/>
      <c r="G109" s="26">
        <v>5.4099999999999993</v>
      </c>
      <c r="H109" s="35"/>
    </row>
    <row r="110" spans="1:8" ht="21" customHeight="1">
      <c r="A110" s="33">
        <v>7</v>
      </c>
      <c r="B110" s="24" t="s">
        <v>3</v>
      </c>
      <c r="C110" s="38" t="s">
        <v>414</v>
      </c>
      <c r="D110" s="15" t="s">
        <v>415</v>
      </c>
      <c r="E110" s="15" t="s">
        <v>416</v>
      </c>
      <c r="F110" s="16">
        <v>906.08</v>
      </c>
      <c r="G110" s="26">
        <v>825</v>
      </c>
      <c r="H110" s="35">
        <f t="shared" si="5"/>
        <v>8.9484372240861781E-2</v>
      </c>
    </row>
    <row r="111" spans="1:8" ht="21" customHeight="1">
      <c r="A111" s="33">
        <v>7</v>
      </c>
      <c r="B111" s="24" t="s">
        <v>3</v>
      </c>
      <c r="C111" s="38" t="s">
        <v>414</v>
      </c>
      <c r="D111" s="15" t="s">
        <v>415</v>
      </c>
      <c r="E111" s="15" t="s">
        <v>417</v>
      </c>
      <c r="F111" s="16">
        <v>2100.9699999999998</v>
      </c>
      <c r="G111" s="26">
        <v>1912.96</v>
      </c>
      <c r="H111" s="35">
        <f t="shared" si="5"/>
        <v>8.9487236847741652E-2</v>
      </c>
    </row>
    <row r="112" spans="1:8" ht="21" customHeight="1">
      <c r="A112" s="33">
        <v>8</v>
      </c>
      <c r="B112" s="24" t="s">
        <v>3</v>
      </c>
      <c r="C112" s="38" t="s">
        <v>418</v>
      </c>
      <c r="D112" s="15" t="s">
        <v>98</v>
      </c>
      <c r="E112" s="15" t="s">
        <v>419</v>
      </c>
      <c r="F112" s="16">
        <v>2180</v>
      </c>
      <c r="G112" s="26">
        <v>1450</v>
      </c>
      <c r="H112" s="35">
        <f t="shared" si="5"/>
        <v>0.33486238532110091</v>
      </c>
    </row>
    <row r="113" spans="1:8" ht="21" customHeight="1">
      <c r="A113" s="33">
        <v>9</v>
      </c>
      <c r="B113" s="24" t="s">
        <v>3</v>
      </c>
      <c r="C113" s="38" t="s">
        <v>420</v>
      </c>
      <c r="D113" s="25" t="s">
        <v>421</v>
      </c>
      <c r="E113" s="25" t="s">
        <v>422</v>
      </c>
      <c r="F113" s="26">
        <v>1204.3499999999999</v>
      </c>
      <c r="G113" s="26">
        <v>1165</v>
      </c>
      <c r="H113" s="35">
        <f t="shared" si="5"/>
        <v>3.2673226221613248E-2</v>
      </c>
    </row>
    <row r="114" spans="1:8" ht="23.1" customHeight="1">
      <c r="A114" s="33">
        <v>10</v>
      </c>
      <c r="B114" s="24" t="s">
        <v>3</v>
      </c>
      <c r="C114" s="24" t="s">
        <v>423</v>
      </c>
      <c r="D114" s="30" t="s">
        <v>424</v>
      </c>
      <c r="E114" s="30" t="s">
        <v>425</v>
      </c>
      <c r="F114" s="36">
        <v>2843</v>
      </c>
      <c r="G114" s="26">
        <v>1080</v>
      </c>
      <c r="H114" s="35">
        <f t="shared" si="5"/>
        <v>0.62011959198030253</v>
      </c>
    </row>
    <row r="115" spans="1:8" ht="23.1" customHeight="1">
      <c r="A115" s="33">
        <v>11</v>
      </c>
      <c r="B115" s="24" t="s">
        <v>3</v>
      </c>
      <c r="C115" s="39" t="s">
        <v>426</v>
      </c>
      <c r="D115" s="25" t="s">
        <v>81</v>
      </c>
      <c r="E115" s="25" t="s">
        <v>427</v>
      </c>
      <c r="F115" s="26">
        <v>66.62</v>
      </c>
      <c r="G115" s="26">
        <v>39.799999999999997</v>
      </c>
      <c r="H115" s="35">
        <f t="shared" si="5"/>
        <v>0.40258180726508563</v>
      </c>
    </row>
    <row r="116" spans="1:8" ht="23.1" customHeight="1">
      <c r="A116" s="33">
        <v>12</v>
      </c>
      <c r="B116" s="24" t="s">
        <v>3</v>
      </c>
      <c r="C116" s="38" t="s">
        <v>428</v>
      </c>
      <c r="D116" s="25" t="s">
        <v>429</v>
      </c>
      <c r="E116" s="25" t="s">
        <v>129</v>
      </c>
      <c r="F116" s="31">
        <v>266.89999999999998</v>
      </c>
      <c r="G116" s="26">
        <v>255</v>
      </c>
      <c r="H116" s="35">
        <f t="shared" si="5"/>
        <v>4.4585987261146418E-2</v>
      </c>
    </row>
    <row r="117" spans="1:8" ht="23.1" customHeight="1">
      <c r="A117" s="33">
        <v>12</v>
      </c>
      <c r="B117" s="24" t="s">
        <v>3</v>
      </c>
      <c r="C117" s="38" t="s">
        <v>428</v>
      </c>
      <c r="D117" s="25" t="s">
        <v>429</v>
      </c>
      <c r="E117" s="25" t="s">
        <v>430</v>
      </c>
      <c r="F117" s="31">
        <v>306.88</v>
      </c>
      <c r="G117" s="26">
        <v>293.2</v>
      </c>
      <c r="H117" s="35">
        <f t="shared" si="5"/>
        <v>4.4577685088634016E-2</v>
      </c>
    </row>
    <row r="118" spans="1:8" ht="23.1" customHeight="1">
      <c r="A118" s="33">
        <v>12</v>
      </c>
      <c r="B118" s="24" t="s">
        <v>3</v>
      </c>
      <c r="C118" s="38" t="s">
        <v>428</v>
      </c>
      <c r="D118" s="25" t="s">
        <v>429</v>
      </c>
      <c r="E118" s="25" t="s">
        <v>431</v>
      </c>
      <c r="F118" s="31">
        <v>224.99</v>
      </c>
      <c r="G118" s="26">
        <v>214.96</v>
      </c>
      <c r="H118" s="35">
        <f t="shared" si="5"/>
        <v>4.4579759100404466E-2</v>
      </c>
    </row>
    <row r="119" spans="1:8" ht="23.1" customHeight="1">
      <c r="A119" s="33">
        <v>13</v>
      </c>
      <c r="B119" s="24" t="s">
        <v>3</v>
      </c>
      <c r="C119" s="38" t="s">
        <v>432</v>
      </c>
      <c r="D119" s="15" t="s">
        <v>98</v>
      </c>
      <c r="E119" s="15" t="s">
        <v>277</v>
      </c>
      <c r="F119" s="16">
        <v>99</v>
      </c>
      <c r="G119" s="26">
        <v>85</v>
      </c>
      <c r="H119" s="35">
        <f t="shared" si="5"/>
        <v>0.14141414141414141</v>
      </c>
    </row>
    <row r="120" spans="1:8" ht="23.1" customHeight="1">
      <c r="A120" s="33">
        <v>14</v>
      </c>
      <c r="B120" s="24" t="s">
        <v>3</v>
      </c>
      <c r="C120" s="38" t="s">
        <v>433</v>
      </c>
      <c r="D120" s="15" t="s">
        <v>434</v>
      </c>
      <c r="E120" s="15" t="s">
        <v>435</v>
      </c>
      <c r="F120" s="16">
        <v>755</v>
      </c>
      <c r="G120" s="26">
        <v>700</v>
      </c>
      <c r="H120" s="35">
        <f t="shared" si="5"/>
        <v>7.2847682119205295E-2</v>
      </c>
    </row>
    <row r="121" spans="1:8" ht="23.1" customHeight="1">
      <c r="A121" s="33">
        <v>15</v>
      </c>
      <c r="B121" s="24" t="s">
        <v>167</v>
      </c>
      <c r="C121" s="24" t="s">
        <v>436</v>
      </c>
      <c r="D121" s="34" t="s">
        <v>437</v>
      </c>
      <c r="E121" s="30" t="s">
        <v>368</v>
      </c>
      <c r="F121" s="36">
        <v>9.26</v>
      </c>
      <c r="G121" s="26">
        <v>8.9</v>
      </c>
      <c r="H121" s="35">
        <f>(F121-G121)/F121</f>
        <v>3.8876889848812032E-2</v>
      </c>
    </row>
  </sheetData>
  <mergeCells count="4">
    <mergeCell ref="A1:H1"/>
    <mergeCell ref="A2:H2"/>
    <mergeCell ref="A94:H94"/>
    <mergeCell ref="A95:H9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4E5B-2714-4163-AB6F-AA01F1F6EED3}">
  <dimension ref="A1:D10"/>
  <sheetViews>
    <sheetView workbookViewId="0">
      <selection activeCell="B10" sqref="B10"/>
    </sheetView>
  </sheetViews>
  <sheetFormatPr defaultRowHeight="12.75"/>
  <cols>
    <col min="1" max="1" width="6.25" style="1" customWidth="1"/>
    <col min="2" max="2" width="21.25" style="1" customWidth="1"/>
    <col min="3" max="3" width="9" style="1"/>
    <col min="4" max="4" width="22" style="1" customWidth="1"/>
    <col min="5" max="16384" width="9" style="1"/>
  </cols>
  <sheetData>
    <row r="1" spans="1:4" ht="23.1" customHeight="1">
      <c r="A1" s="43" t="s">
        <v>438</v>
      </c>
      <c r="B1" s="43"/>
      <c r="C1" s="43"/>
      <c r="D1" s="43"/>
    </row>
    <row r="2" spans="1:4" s="17" customFormat="1" ht="23.1" customHeight="1">
      <c r="A2" s="18" t="s">
        <v>178</v>
      </c>
      <c r="B2" s="18" t="s">
        <v>179</v>
      </c>
      <c r="C2" s="18" t="s">
        <v>178</v>
      </c>
      <c r="D2" s="18" t="s">
        <v>179</v>
      </c>
    </row>
    <row r="3" spans="1:4" s="17" customFormat="1" ht="23.1" customHeight="1">
      <c r="A3" s="13">
        <v>1</v>
      </c>
      <c r="B3" s="13" t="s">
        <v>439</v>
      </c>
      <c r="C3" s="13">
        <v>9</v>
      </c>
      <c r="D3" s="13" t="s">
        <v>440</v>
      </c>
    </row>
    <row r="4" spans="1:4" s="17" customFormat="1" ht="23.1" customHeight="1">
      <c r="A4" s="13">
        <v>2</v>
      </c>
      <c r="B4" s="13" t="s">
        <v>441</v>
      </c>
      <c r="C4" s="13">
        <v>10</v>
      </c>
      <c r="D4" s="13" t="s">
        <v>442</v>
      </c>
    </row>
    <row r="5" spans="1:4" s="17" customFormat="1" ht="23.1" customHeight="1">
      <c r="A5" s="13">
        <v>3</v>
      </c>
      <c r="B5" s="13" t="s">
        <v>443</v>
      </c>
      <c r="C5" s="13">
        <v>11</v>
      </c>
      <c r="D5" s="13" t="s">
        <v>444</v>
      </c>
    </row>
    <row r="6" spans="1:4" s="17" customFormat="1" ht="23.1" customHeight="1">
      <c r="A6" s="13">
        <v>4</v>
      </c>
      <c r="B6" s="13" t="s">
        <v>445</v>
      </c>
      <c r="C6" s="13">
        <v>12</v>
      </c>
      <c r="D6" s="13" t="s">
        <v>446</v>
      </c>
    </row>
    <row r="7" spans="1:4" s="17" customFormat="1" ht="23.1" customHeight="1">
      <c r="A7" s="13">
        <v>5</v>
      </c>
      <c r="B7" s="13" t="s">
        <v>447</v>
      </c>
      <c r="C7" s="13">
        <v>13</v>
      </c>
      <c r="D7" s="13" t="s">
        <v>448</v>
      </c>
    </row>
    <row r="8" spans="1:4" s="17" customFormat="1" ht="23.1" customHeight="1">
      <c r="A8" s="13">
        <v>6</v>
      </c>
      <c r="B8" s="13" t="s">
        <v>449</v>
      </c>
      <c r="C8" s="13">
        <v>14</v>
      </c>
      <c r="D8" s="13" t="s">
        <v>450</v>
      </c>
    </row>
    <row r="9" spans="1:4" s="17" customFormat="1" ht="23.1" customHeight="1">
      <c r="A9" s="13">
        <v>7</v>
      </c>
      <c r="B9" s="13" t="s">
        <v>451</v>
      </c>
      <c r="C9" s="13">
        <v>15</v>
      </c>
      <c r="D9" s="13" t="s">
        <v>452</v>
      </c>
    </row>
    <row r="10" spans="1:4" s="17" customFormat="1" ht="23.1" customHeight="1">
      <c r="A10" s="13">
        <v>8</v>
      </c>
      <c r="B10" s="13" t="s">
        <v>453</v>
      </c>
      <c r="C10" s="13">
        <v>16</v>
      </c>
      <c r="D10" s="13" t="s">
        <v>454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DB13-00CE-400E-AF29-63F99D42EAAB}">
  <dimension ref="A1:D8"/>
  <sheetViews>
    <sheetView workbookViewId="0">
      <selection activeCell="O7" sqref="O7"/>
    </sheetView>
  </sheetViews>
  <sheetFormatPr defaultRowHeight="12.75"/>
  <cols>
    <col min="1" max="1" width="9" style="1"/>
    <col min="2" max="2" width="17.5" style="1" customWidth="1"/>
    <col min="3" max="3" width="9" style="1"/>
    <col min="4" max="4" width="15.5" style="1" customWidth="1"/>
    <col min="5" max="16384" width="9" style="1"/>
  </cols>
  <sheetData>
    <row r="1" spans="1:4" ht="23.1" customHeight="1">
      <c r="A1" s="43" t="s">
        <v>455</v>
      </c>
      <c r="B1" s="43"/>
      <c r="C1" s="43"/>
      <c r="D1" s="43"/>
    </row>
    <row r="2" spans="1:4" s="13" customFormat="1" ht="23.1" customHeight="1">
      <c r="A2" s="18" t="s">
        <v>178</v>
      </c>
      <c r="B2" s="18" t="s">
        <v>179</v>
      </c>
      <c r="C2" s="18" t="s">
        <v>178</v>
      </c>
      <c r="D2" s="18" t="s">
        <v>179</v>
      </c>
    </row>
    <row r="3" spans="1:4" s="13" customFormat="1" ht="23.1" customHeight="1">
      <c r="A3" s="13">
        <v>1</v>
      </c>
      <c r="B3" s="13" t="s">
        <v>456</v>
      </c>
      <c r="C3" s="13">
        <v>7</v>
      </c>
      <c r="D3" s="13" t="s">
        <v>457</v>
      </c>
    </row>
    <row r="4" spans="1:4" s="13" customFormat="1" ht="23.1" customHeight="1">
      <c r="A4" s="13">
        <v>2</v>
      </c>
      <c r="B4" s="13" t="s">
        <v>458</v>
      </c>
      <c r="C4" s="13">
        <v>8</v>
      </c>
      <c r="D4" s="13" t="s">
        <v>459</v>
      </c>
    </row>
    <row r="5" spans="1:4" s="13" customFormat="1" ht="23.1" customHeight="1">
      <c r="A5" s="13">
        <v>3</v>
      </c>
      <c r="B5" s="13" t="s">
        <v>460</v>
      </c>
      <c r="C5" s="13">
        <v>9</v>
      </c>
      <c r="D5" s="13" t="s">
        <v>461</v>
      </c>
    </row>
    <row r="6" spans="1:4" s="13" customFormat="1" ht="23.1" customHeight="1">
      <c r="A6" s="13">
        <v>4</v>
      </c>
      <c r="B6" s="13" t="s">
        <v>462</v>
      </c>
      <c r="C6" s="13">
        <v>10</v>
      </c>
      <c r="D6" s="13" t="s">
        <v>463</v>
      </c>
    </row>
    <row r="7" spans="1:4" s="13" customFormat="1" ht="23.1" customHeight="1">
      <c r="A7" s="13">
        <v>5</v>
      </c>
      <c r="B7" s="13" t="s">
        <v>464</v>
      </c>
      <c r="C7" s="13">
        <v>11</v>
      </c>
      <c r="D7" s="13" t="s">
        <v>465</v>
      </c>
    </row>
    <row r="8" spans="1:4" s="13" customFormat="1" ht="23.1" customHeight="1">
      <c r="A8" s="13">
        <v>6</v>
      </c>
      <c r="B8" s="13" t="s">
        <v>466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286F-1003-47D3-901E-EB0F0D0FBFC7}">
  <dimension ref="A1:D11"/>
  <sheetViews>
    <sheetView workbookViewId="0">
      <selection activeCell="I14" sqref="I14"/>
    </sheetView>
  </sheetViews>
  <sheetFormatPr defaultRowHeight="12.75"/>
  <cols>
    <col min="1" max="1" width="23.375" style="14" customWidth="1"/>
    <col min="2" max="2" width="13.25" style="14" customWidth="1"/>
    <col min="3" max="3" width="12.5" style="14" customWidth="1"/>
    <col min="4" max="4" width="16.25" style="14" customWidth="1"/>
    <col min="5" max="16384" width="9" style="1"/>
  </cols>
  <sheetData>
    <row r="1" spans="1:4" ht="23.1" customHeight="1">
      <c r="A1" s="43" t="s">
        <v>467</v>
      </c>
      <c r="B1" s="43"/>
      <c r="C1" s="43"/>
      <c r="D1" s="43"/>
    </row>
    <row r="2" spans="1:4" ht="36" customHeight="1">
      <c r="A2" s="10" t="s">
        <v>179</v>
      </c>
      <c r="B2" s="10" t="s">
        <v>187</v>
      </c>
      <c r="C2" s="10" t="s">
        <v>188</v>
      </c>
      <c r="D2" s="11" t="s">
        <v>468</v>
      </c>
    </row>
    <row r="3" spans="1:4" ht="23.1" customHeight="1">
      <c r="A3" s="2" t="s">
        <v>469</v>
      </c>
      <c r="B3" s="12" t="s">
        <v>205</v>
      </c>
      <c r="C3" s="3" t="s">
        <v>309</v>
      </c>
      <c r="D3" s="4">
        <v>169</v>
      </c>
    </row>
    <row r="4" spans="1:4" ht="23.1" customHeight="1">
      <c r="A4" s="2" t="s">
        <v>470</v>
      </c>
      <c r="B4" s="15" t="s">
        <v>143</v>
      </c>
      <c r="C4" s="15" t="s">
        <v>471</v>
      </c>
      <c r="D4" s="16">
        <v>1060</v>
      </c>
    </row>
    <row r="5" spans="1:4" ht="23.1" customHeight="1">
      <c r="A5" s="2" t="s">
        <v>472</v>
      </c>
      <c r="B5" s="2" t="s">
        <v>402</v>
      </c>
      <c r="C5" s="2" t="s">
        <v>473</v>
      </c>
      <c r="D5" s="4">
        <v>186</v>
      </c>
    </row>
    <row r="6" spans="1:4" ht="23.1" customHeight="1">
      <c r="A6" s="2" t="s">
        <v>474</v>
      </c>
      <c r="B6" s="2" t="s">
        <v>475</v>
      </c>
      <c r="C6" s="2" t="s">
        <v>129</v>
      </c>
      <c r="D6" s="13">
        <v>12.64</v>
      </c>
    </row>
    <row r="7" spans="1:4" ht="23.1" customHeight="1">
      <c r="A7" s="2" t="s">
        <v>474</v>
      </c>
      <c r="B7" s="2" t="s">
        <v>475</v>
      </c>
      <c r="C7" s="2" t="s">
        <v>56</v>
      </c>
      <c r="D7" s="13">
        <v>3.68</v>
      </c>
    </row>
    <row r="8" spans="1:4" ht="23.1" customHeight="1">
      <c r="A8" s="2" t="s">
        <v>474</v>
      </c>
      <c r="B8" s="2" t="s">
        <v>475</v>
      </c>
      <c r="C8" s="2" t="s">
        <v>23</v>
      </c>
      <c r="D8" s="13">
        <v>58.55</v>
      </c>
    </row>
    <row r="9" spans="1:4" ht="23.1" customHeight="1">
      <c r="A9" s="2" t="s">
        <v>476</v>
      </c>
      <c r="B9" s="2" t="s">
        <v>110</v>
      </c>
      <c r="C9" s="2" t="s">
        <v>477</v>
      </c>
      <c r="D9" s="13"/>
    </row>
    <row r="10" spans="1:4" ht="23.1" customHeight="1">
      <c r="A10" s="2" t="s">
        <v>478</v>
      </c>
      <c r="B10" s="15" t="s">
        <v>52</v>
      </c>
      <c r="C10" s="15" t="s">
        <v>479</v>
      </c>
      <c r="D10" s="16">
        <v>2928</v>
      </c>
    </row>
    <row r="11" spans="1:4" ht="23.1" customHeight="1">
      <c r="A11" s="2" t="s">
        <v>480</v>
      </c>
      <c r="B11" s="2" t="s">
        <v>481</v>
      </c>
      <c r="C11" s="2" t="s">
        <v>482</v>
      </c>
      <c r="D11" s="13">
        <v>3181.57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医保谈判品种清单</vt:lpstr>
      <vt:lpstr>续签品种清单</vt:lpstr>
      <vt:lpstr>协议期内从谈判药品转到常规药品</vt:lpstr>
      <vt:lpstr>调出目录11个品种</vt:lpstr>
      <vt:lpstr>新适应症未进入医保清单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quanjia</dc:creator>
  <cp:lastModifiedBy>刘今子</cp:lastModifiedBy>
  <dcterms:created xsi:type="dcterms:W3CDTF">2015-06-05T18:17:20Z</dcterms:created>
  <dcterms:modified xsi:type="dcterms:W3CDTF">2025-01-23T08:39:26Z</dcterms:modified>
</cp:coreProperties>
</file>