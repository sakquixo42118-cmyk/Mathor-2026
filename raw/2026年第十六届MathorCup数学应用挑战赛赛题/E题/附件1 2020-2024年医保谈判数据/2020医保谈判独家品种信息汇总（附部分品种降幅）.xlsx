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全佳工作\文章内容\医保谈判\2020年医保谈判\"/>
    </mc:Choice>
  </mc:AlternateContent>
  <xr:revisionPtr revIDLastSave="0" documentId="13_ncr:1_{FC101BF1-6BA3-4DBD-9AC5-41E12734B854}" xr6:coauthVersionLast="47" xr6:coauthVersionMax="47" xr10:uidLastSave="{00000000-0000-0000-0000-000000000000}"/>
  <bookViews>
    <workbookView xWindow="-120" yWindow="-120" windowWidth="29040" windowHeight="15840" activeTab="1" xr2:uid="{B98333AA-EBD9-4D3C-942C-6973461ADBFD}"/>
  </bookViews>
  <sheets>
    <sheet name="降幅拆规格" sheetId="2" r:id="rId1"/>
    <sheet name="续约" sheetId="3" r:id="rId2"/>
  </sheets>
  <definedNames>
    <definedName name="_xlnm._FilterDatabase" localSheetId="0" hidden="1">降幅拆规格!$A$2:$H$82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4" i="2" l="1"/>
  <c r="H19" i="3"/>
  <c r="H4" i="2"/>
  <c r="H18" i="3"/>
  <c r="H20" i="3"/>
  <c r="H17" i="3"/>
  <c r="H12" i="3"/>
  <c r="H13" i="3"/>
  <c r="H4" i="3"/>
  <c r="H5" i="3"/>
  <c r="H21" i="3"/>
  <c r="H34" i="3"/>
  <c r="H26" i="3"/>
  <c r="H27" i="3"/>
  <c r="H13" i="2"/>
  <c r="H14" i="2"/>
  <c r="H39" i="2"/>
  <c r="H41" i="2"/>
  <c r="H71" i="2"/>
  <c r="H70" i="2"/>
  <c r="H67" i="2"/>
  <c r="H12" i="2"/>
  <c r="H52" i="2"/>
  <c r="H53" i="2"/>
  <c r="H43" i="2"/>
  <c r="H56" i="2"/>
  <c r="H6" i="2"/>
  <c r="H60" i="2"/>
  <c r="H79" i="2"/>
  <c r="H77" i="2"/>
  <c r="H78" i="2"/>
  <c r="H59" i="2"/>
  <c r="H44" i="2"/>
  <c r="H19" i="2"/>
  <c r="H20" i="2"/>
  <c r="H28" i="2"/>
  <c r="H38" i="2"/>
  <c r="H18" i="2"/>
  <c r="H8" i="2"/>
  <c r="H7" i="2"/>
  <c r="H37" i="3"/>
  <c r="H36" i="3"/>
  <c r="H35" i="3"/>
  <c r="H23" i="3"/>
  <c r="H24" i="3"/>
  <c r="H22" i="3"/>
  <c r="H3" i="3"/>
  <c r="H32" i="3"/>
  <c r="H31" i="3"/>
  <c r="H33" i="3"/>
  <c r="H9" i="3"/>
  <c r="H73" i="2"/>
  <c r="H72" i="2"/>
  <c r="H75" i="2"/>
  <c r="H76" i="2"/>
  <c r="H80" i="2"/>
  <c r="H68" i="2"/>
  <c r="H69" i="2"/>
  <c r="H64" i="2"/>
  <c r="H65" i="2"/>
  <c r="H61" i="2"/>
  <c r="H55" i="2"/>
  <c r="H54" i="2"/>
  <c r="H48" i="2"/>
  <c r="H49" i="2"/>
  <c r="H50" i="2"/>
  <c r="H51" i="2"/>
  <c r="H45" i="2"/>
  <c r="H46" i="2"/>
  <c r="H42" i="2"/>
  <c r="H40" i="2"/>
  <c r="H35" i="2"/>
  <c r="H36" i="2"/>
  <c r="H37" i="2"/>
  <c r="H34" i="2"/>
  <c r="H30" i="2"/>
  <c r="H31" i="2"/>
  <c r="H32" i="2"/>
  <c r="H33" i="2"/>
  <c r="H16" i="2"/>
  <c r="H23" i="2"/>
  <c r="H24" i="2"/>
  <c r="H25" i="2"/>
  <c r="H26" i="2"/>
  <c r="H27" i="2"/>
  <c r="H118" i="2"/>
  <c r="H117" i="2"/>
  <c r="H116" i="2"/>
  <c r="H115" i="2"/>
  <c r="H114" i="2"/>
  <c r="H113" i="2"/>
  <c r="H112" i="2"/>
  <c r="H111" i="2"/>
  <c r="H110" i="2"/>
  <c r="H108" i="2"/>
  <c r="H107" i="2"/>
  <c r="H106" i="2"/>
  <c r="H105" i="2"/>
  <c r="H104" i="2"/>
  <c r="H103" i="2"/>
  <c r="H102" i="2"/>
  <c r="H101" i="2"/>
  <c r="H99" i="2"/>
  <c r="H98" i="2"/>
  <c r="H97" i="2"/>
  <c r="H96" i="2"/>
  <c r="H94" i="2"/>
  <c r="H93" i="2"/>
  <c r="H92" i="2"/>
  <c r="H91" i="2"/>
  <c r="H89" i="2"/>
  <c r="H88" i="2"/>
</calcChain>
</file>

<file path=xl/sharedStrings.xml><?xml version="1.0" encoding="utf-8"?>
<sst xmlns="http://schemas.openxmlformats.org/spreadsheetml/2006/main" count="625" uniqueCount="364">
  <si>
    <t>2020医保谈判调入品种——西药</t>
    <phoneticPr fontId="4" type="noConversion"/>
  </si>
  <si>
    <t>序号</t>
    <phoneticPr fontId="4" type="noConversion"/>
  </si>
  <si>
    <t>调入方式</t>
    <phoneticPr fontId="4" type="noConversion"/>
  </si>
  <si>
    <t>药品名称</t>
    <phoneticPr fontId="4" type="noConversion"/>
  </si>
  <si>
    <t>公司名称</t>
    <phoneticPr fontId="6" type="noConversion"/>
  </si>
  <si>
    <t>规格</t>
    <phoneticPr fontId="4" type="noConversion"/>
  </si>
  <si>
    <t>谈判前单位中标价格
（支、片、粒）中位值</t>
    <phoneticPr fontId="4" type="noConversion"/>
  </si>
  <si>
    <t>医保支付
标准（元）</t>
    <phoneticPr fontId="4" type="noConversion"/>
  </si>
  <si>
    <t>降幅</t>
    <phoneticPr fontId="4" type="noConversion"/>
  </si>
  <si>
    <t>谈判调入</t>
  </si>
  <si>
    <t>醋酸兰瑞肽缓释注射液（预充式）</t>
    <phoneticPr fontId="6" type="noConversion"/>
  </si>
  <si>
    <t>益普生</t>
    <phoneticPr fontId="6" type="noConversion"/>
  </si>
  <si>
    <t>40mg</t>
    <phoneticPr fontId="6" type="noConversion"/>
  </si>
  <si>
    <t>*</t>
    <phoneticPr fontId="6" type="noConversion"/>
  </si>
  <si>
    <t>布林佐胺噻吗洛尔滴眼液</t>
    <phoneticPr fontId="6" type="noConversion"/>
  </si>
  <si>
    <t>诺华</t>
    <phoneticPr fontId="6" type="noConversion"/>
  </si>
  <si>
    <t>5ml:布林佐胺50mg和马来酸噻吗洛尔25mg(以噻吗洛尔计)</t>
    <phoneticPr fontId="6" type="noConversion"/>
  </si>
  <si>
    <t>布林佐胺溴莫尼定滴眼液</t>
    <phoneticPr fontId="6" type="noConversion"/>
  </si>
  <si>
    <t>5ml:布林佐胺50mg和酒石酸溴莫尼定10mg</t>
    <phoneticPr fontId="6" type="noConversion"/>
  </si>
  <si>
    <t>注射用贝利尤单抗</t>
    <phoneticPr fontId="6" type="noConversion"/>
  </si>
  <si>
    <t>GSK</t>
    <phoneticPr fontId="6" type="noConversion"/>
  </si>
  <si>
    <t>120mg</t>
    <phoneticPr fontId="6" type="noConversion"/>
  </si>
  <si>
    <t>西尼莫德片</t>
    <phoneticPr fontId="6" type="noConversion"/>
  </si>
  <si>
    <t>2mg</t>
    <phoneticPr fontId="6" type="noConversion"/>
  </si>
  <si>
    <t>盐酸芬戈莫德胶囊</t>
    <phoneticPr fontId="6" type="noConversion"/>
  </si>
  <si>
    <t>0.5mg</t>
    <phoneticPr fontId="6" type="noConversion"/>
  </si>
  <si>
    <t>氘丁苯那嗪片</t>
    <phoneticPr fontId="6" type="noConversion"/>
  </si>
  <si>
    <t>Teva</t>
  </si>
  <si>
    <t>6mg</t>
  </si>
  <si>
    <t>9mg</t>
    <phoneticPr fontId="6" type="noConversion"/>
  </si>
  <si>
    <t>12mg</t>
    <phoneticPr fontId="6" type="noConversion"/>
  </si>
  <si>
    <t>吡仑帕奈片</t>
    <phoneticPr fontId="6" type="noConversion"/>
  </si>
  <si>
    <t>卫材</t>
    <phoneticPr fontId="6" type="noConversion"/>
  </si>
  <si>
    <t>4mg</t>
    <phoneticPr fontId="6" type="noConversion"/>
  </si>
  <si>
    <t>钆布醇注射液</t>
    <phoneticPr fontId="6" type="noConversion"/>
  </si>
  <si>
    <t>拜耳</t>
    <phoneticPr fontId="6" type="noConversion"/>
  </si>
  <si>
    <t>7.5ml:4.5354g</t>
    <phoneticPr fontId="6" type="noConversion"/>
  </si>
  <si>
    <t>15ml:9.0708g</t>
    <phoneticPr fontId="6" type="noConversion"/>
  </si>
  <si>
    <t>艾托格列净片</t>
    <phoneticPr fontId="6" type="noConversion"/>
  </si>
  <si>
    <t>辉瑞</t>
    <phoneticPr fontId="6" type="noConversion"/>
  </si>
  <si>
    <t>5mg</t>
    <phoneticPr fontId="6" type="noConversion"/>
  </si>
  <si>
    <t>盐酸乙酰左卡尼汀片</t>
    <phoneticPr fontId="6" type="noConversion"/>
  </si>
  <si>
    <t>海思科</t>
    <phoneticPr fontId="6" type="noConversion"/>
  </si>
  <si>
    <t>0.25g</t>
    <phoneticPr fontId="6" type="noConversion"/>
  </si>
  <si>
    <t>盐酸乙酰左卡尼汀片</t>
  </si>
  <si>
    <t>0.5g</t>
    <phoneticPr fontId="6" type="noConversion"/>
  </si>
  <si>
    <t>德谷门冬双胰岛素注射液</t>
    <phoneticPr fontId="6" type="noConversion"/>
  </si>
  <si>
    <t>诺和诺德</t>
    <phoneticPr fontId="6" type="noConversion"/>
  </si>
  <si>
    <t>3ml:300单位(畅充)</t>
    <phoneticPr fontId="6" type="noConversion"/>
  </si>
  <si>
    <t>注射用维得利珠单抗</t>
    <phoneticPr fontId="6" type="noConversion"/>
  </si>
  <si>
    <t>武田制药</t>
    <phoneticPr fontId="6" type="noConversion"/>
  </si>
  <si>
    <t>300mg</t>
    <phoneticPr fontId="6" type="noConversion"/>
  </si>
  <si>
    <t>利那洛肽胶囊</t>
    <phoneticPr fontId="6" type="noConversion"/>
  </si>
  <si>
    <t>Ironwood</t>
    <phoneticPr fontId="6" type="noConversion"/>
  </si>
  <si>
    <t>290μg</t>
    <phoneticPr fontId="6" type="noConversion"/>
  </si>
  <si>
    <t>马来酸阿伐曲泊帕片</t>
    <phoneticPr fontId="6" type="noConversion"/>
  </si>
  <si>
    <t>AkaRx</t>
  </si>
  <si>
    <t>20mg</t>
    <phoneticPr fontId="6" type="noConversion"/>
  </si>
  <si>
    <t>甲苯磺酸艾多沙班片</t>
    <phoneticPr fontId="6" type="noConversion"/>
  </si>
  <si>
    <t>第一三共</t>
    <phoneticPr fontId="6" type="noConversion"/>
  </si>
  <si>
    <t>15mg</t>
  </si>
  <si>
    <t>30mg</t>
  </si>
  <si>
    <t>60mg</t>
  </si>
  <si>
    <t>铝镁匹林片（II）</t>
    <phoneticPr fontId="6" type="noConversion"/>
  </si>
  <si>
    <t>诺金制药</t>
  </si>
  <si>
    <t>每片含阿司匹林81mg,重质碳酸镁22mg,甘羟铝11mg</t>
    <phoneticPr fontId="6" type="noConversion"/>
  </si>
  <si>
    <t>注射用重组人TNK组织型纤溶酶原激活剂（冻干粉针）</t>
    <phoneticPr fontId="6" type="noConversion"/>
  </si>
  <si>
    <t>铭康生物</t>
    <phoneticPr fontId="6" type="noConversion"/>
  </si>
  <si>
    <t>1.0×10E7IU/16mg/支</t>
    <phoneticPr fontId="6" type="noConversion"/>
  </si>
  <si>
    <t>盐酸奥普力农注射液</t>
    <phoneticPr fontId="6" type="noConversion"/>
  </si>
  <si>
    <t>爱尔海泰</t>
    <phoneticPr fontId="6" type="noConversion"/>
  </si>
  <si>
    <t>5ml:5mg</t>
  </si>
  <si>
    <t>富马酸伏诺拉生片</t>
    <phoneticPr fontId="6" type="noConversion"/>
  </si>
  <si>
    <t>10mg</t>
    <phoneticPr fontId="6" type="noConversion"/>
  </si>
  <si>
    <t>门冬氨酸鸟氨酸颗粒</t>
    <phoneticPr fontId="6" type="noConversion"/>
  </si>
  <si>
    <t>启瑞药业</t>
    <phoneticPr fontId="6" type="noConversion"/>
  </si>
  <si>
    <t>1g/袋</t>
    <phoneticPr fontId="6" type="noConversion"/>
  </si>
  <si>
    <t>3g/袋</t>
    <phoneticPr fontId="6" type="noConversion"/>
  </si>
  <si>
    <t>度拉糖肽注射液</t>
    <phoneticPr fontId="6" type="noConversion"/>
  </si>
  <si>
    <t>礼来</t>
    <phoneticPr fontId="6" type="noConversion"/>
  </si>
  <si>
    <t>1.5mg:0.5ml</t>
    <phoneticPr fontId="6" type="noConversion"/>
  </si>
  <si>
    <t>聚乙二醇洛塞那肽注射液</t>
    <phoneticPr fontId="6" type="noConversion"/>
  </si>
  <si>
    <t>豪森药业</t>
    <phoneticPr fontId="6" type="noConversion"/>
  </si>
  <si>
    <t>0.5ml:0.1mg</t>
    <phoneticPr fontId="6" type="noConversion"/>
  </si>
  <si>
    <t>0.5ml:0.2mg</t>
    <phoneticPr fontId="6" type="noConversion"/>
  </si>
  <si>
    <t>贝那鲁肽注射液</t>
    <phoneticPr fontId="6" type="noConversion"/>
  </si>
  <si>
    <t>仁会生物</t>
    <phoneticPr fontId="6" type="noConversion"/>
  </si>
  <si>
    <t>2.1ml:4.2mg(42000U)</t>
    <phoneticPr fontId="6" type="noConversion"/>
  </si>
  <si>
    <t>本维莫德乳膏</t>
    <phoneticPr fontId="6" type="noConversion"/>
  </si>
  <si>
    <t>中昊药业</t>
    <phoneticPr fontId="6" type="noConversion"/>
  </si>
  <si>
    <t>10g:0.1</t>
    <phoneticPr fontId="6" type="noConversion"/>
  </si>
  <si>
    <t>小儿法罗培南钠颗粒</t>
    <phoneticPr fontId="6" type="noConversion"/>
  </si>
  <si>
    <t xml:space="preserve">Maruho Co. Ltd. </t>
    <phoneticPr fontId="6" type="noConversion"/>
  </si>
  <si>
    <t>0.05g/袋</t>
    <phoneticPr fontId="6" type="noConversion"/>
  </si>
  <si>
    <t>西他沙星片</t>
    <phoneticPr fontId="6" type="noConversion"/>
  </si>
  <si>
    <t>50mg</t>
    <phoneticPr fontId="6" type="noConversion"/>
  </si>
  <si>
    <t>头孢托仑匹酯颗粒</t>
    <phoneticPr fontId="6" type="noConversion"/>
  </si>
  <si>
    <t>Meiji Seika Kaisha</t>
    <phoneticPr fontId="6" type="noConversion"/>
  </si>
  <si>
    <t>30mg</t>
    <phoneticPr fontId="6" type="noConversion"/>
  </si>
  <si>
    <t>格隆溴铵福莫特罗吸入气雾剂</t>
    <phoneticPr fontId="6" type="noConversion"/>
  </si>
  <si>
    <t>阿斯利康</t>
    <phoneticPr fontId="6" type="noConversion"/>
  </si>
  <si>
    <t>每罐120揿,每揿含格隆铵7.2μg与富马酸福莫特罗5.0μg</t>
    <phoneticPr fontId="6" type="noConversion"/>
  </si>
  <si>
    <t>氟替美维吸入粉雾剂</t>
    <phoneticPr fontId="6" type="noConversion"/>
  </si>
  <si>
    <t>Glaxo Operations UK Ltd</t>
    <phoneticPr fontId="3" type="noConversion"/>
  </si>
  <si>
    <t>糠酸氟替卡松100μg、乌美溴铵(以乌美铵计)62.5μg与三苯乙酸维兰特罗(以维兰特罗计)25μg</t>
  </si>
  <si>
    <t>布地格福吸入气雾剂</t>
    <phoneticPr fontId="6" type="noConversion"/>
  </si>
  <si>
    <t>每瓶120揿,每揿含布地奈德160μg、格隆铵7.2μg和富马酸福莫特罗4.8μg</t>
    <phoneticPr fontId="6" type="noConversion"/>
  </si>
  <si>
    <t>盐酸丙卡特罗粉雾剂</t>
    <phoneticPr fontId="6" type="noConversion"/>
  </si>
  <si>
    <t>大冢制药</t>
    <phoneticPr fontId="6" type="noConversion"/>
  </si>
  <si>
    <t>10μg/吸，200吸/支</t>
    <phoneticPr fontId="6" type="noConversion"/>
  </si>
  <si>
    <t>司库奇尤单抗注射液</t>
    <phoneticPr fontId="6" type="noConversion"/>
  </si>
  <si>
    <t>1ml:150mg</t>
    <phoneticPr fontId="6" type="noConversion"/>
  </si>
  <si>
    <t>度普利尤单抗注射液</t>
    <phoneticPr fontId="6" type="noConversion"/>
  </si>
  <si>
    <t>赛诺菲</t>
    <phoneticPr fontId="6" type="noConversion"/>
  </si>
  <si>
    <t>300mg（2.0mL)/支(预充式注射器)</t>
  </si>
  <si>
    <t>盐酸可洛派韦胶囊</t>
    <phoneticPr fontId="6" type="noConversion"/>
  </si>
  <si>
    <t>凯因科技</t>
    <phoneticPr fontId="6" type="noConversion"/>
  </si>
  <si>
    <t>60mg(协议有效期内，谈判企业负责向购买盐酸可洛派韦胶囊的患者免费赠送同疗程的索磷布韦片)</t>
    <phoneticPr fontId="6" type="noConversion"/>
  </si>
  <si>
    <t>法维拉韦片（又称:法匹拉韦片）</t>
    <phoneticPr fontId="6" type="noConversion"/>
  </si>
  <si>
    <t>海正药业</t>
    <phoneticPr fontId="6" type="noConversion"/>
  </si>
  <si>
    <t>0.2g</t>
    <phoneticPr fontId="6" type="noConversion"/>
  </si>
  <si>
    <t>奈韦拉平齐多拉米双夫定片</t>
    <phoneticPr fontId="6" type="noConversion"/>
  </si>
  <si>
    <t>迪赛诺</t>
    <phoneticPr fontId="6" type="noConversion"/>
  </si>
  <si>
    <t>每片含奈韦拉平0.2g, 齐多夫定0.3g和拉米夫定0.15g</t>
    <phoneticPr fontId="6" type="noConversion"/>
  </si>
  <si>
    <t>注射用艾博韦泰</t>
    <phoneticPr fontId="6" type="noConversion"/>
  </si>
  <si>
    <t>前沿生物</t>
    <phoneticPr fontId="6" type="noConversion"/>
  </si>
  <si>
    <t>160mg</t>
    <phoneticPr fontId="6" type="noConversion"/>
  </si>
  <si>
    <t>盐酸阿比多尔颗粒</t>
    <phoneticPr fontId="6" type="noConversion"/>
  </si>
  <si>
    <t>涟水制药</t>
    <phoneticPr fontId="6" type="noConversion"/>
  </si>
  <si>
    <t>0.1g</t>
    <phoneticPr fontId="6" type="noConversion"/>
  </si>
  <si>
    <t>盐酸左沙丁胺醇雾化吸入溶液</t>
    <phoneticPr fontId="6" type="noConversion"/>
  </si>
  <si>
    <t>健康元</t>
    <phoneticPr fontId="6" type="noConversion"/>
  </si>
  <si>
    <t>3ml:0.31mg</t>
    <phoneticPr fontId="6" type="noConversion"/>
  </si>
  <si>
    <t>3ml:0.63mg</t>
    <phoneticPr fontId="6" type="noConversion"/>
  </si>
  <si>
    <t>乙磺酸尼达尼布软胶囊</t>
    <phoneticPr fontId="6" type="noConversion"/>
  </si>
  <si>
    <t>勃林格殷格翰</t>
    <phoneticPr fontId="6" type="noConversion"/>
  </si>
  <si>
    <t>100mg</t>
    <phoneticPr fontId="6" type="noConversion"/>
  </si>
  <si>
    <t>150mg</t>
    <phoneticPr fontId="6" type="noConversion"/>
  </si>
  <si>
    <t>甲苯磺酸尼拉帕利胶囊</t>
    <phoneticPr fontId="6" type="noConversion"/>
  </si>
  <si>
    <t>再鼎医药</t>
    <phoneticPr fontId="6" type="noConversion"/>
  </si>
  <si>
    <t>巴瑞替尼片</t>
    <phoneticPr fontId="6" type="noConversion"/>
  </si>
  <si>
    <t>依那西普注射液</t>
    <phoneticPr fontId="6" type="noConversion"/>
  </si>
  <si>
    <t>0.94ml:50mg</t>
    <phoneticPr fontId="6" type="noConversion"/>
  </si>
  <si>
    <t>复方氨基酸注射液（14AA-SF）</t>
    <phoneticPr fontId="6" type="noConversion"/>
  </si>
  <si>
    <t>一半天制药</t>
    <phoneticPr fontId="6" type="noConversion"/>
  </si>
  <si>
    <t>50ml:4.2g</t>
    <phoneticPr fontId="6" type="noConversion"/>
  </si>
  <si>
    <t>250ml:21.2g</t>
    <phoneticPr fontId="6" type="noConversion"/>
  </si>
  <si>
    <t>米拉贝隆缓释片</t>
    <phoneticPr fontId="6" type="noConversion"/>
  </si>
  <si>
    <t>安斯泰来</t>
    <phoneticPr fontId="6" type="noConversion"/>
  </si>
  <si>
    <t>25mg</t>
    <phoneticPr fontId="6" type="noConversion"/>
  </si>
  <si>
    <t>恩扎卢胺软胶囊</t>
    <phoneticPr fontId="6" type="noConversion"/>
  </si>
  <si>
    <t>甲磺酸氟马替尼片</t>
    <phoneticPr fontId="6" type="noConversion"/>
  </si>
  <si>
    <t>甲磺酸氟马替尼片</t>
  </si>
  <si>
    <t>盐酸艾司氯胺酮注射液</t>
    <phoneticPr fontId="6" type="noConversion"/>
  </si>
  <si>
    <t>恒瑞医药</t>
    <phoneticPr fontId="6" type="noConversion"/>
  </si>
  <si>
    <t>2ml:50mg</t>
    <phoneticPr fontId="6" type="noConversion"/>
  </si>
  <si>
    <t>水合氯醛灌肠剂</t>
    <phoneticPr fontId="6" type="noConversion"/>
  </si>
  <si>
    <t>特丰制药</t>
    <phoneticPr fontId="6" type="noConversion"/>
  </si>
  <si>
    <t>1.34g:0.5g</t>
    <phoneticPr fontId="6" type="noConversion"/>
  </si>
  <si>
    <t>依达拉奉氯化钠注射液</t>
    <phoneticPr fontId="6" type="noConversion"/>
  </si>
  <si>
    <t>正大丰海</t>
    <phoneticPr fontId="6" type="noConversion"/>
  </si>
  <si>
    <t>100ml:依达拉奉30mg与氯化钠855mg</t>
    <phoneticPr fontId="6" type="noConversion"/>
  </si>
  <si>
    <t>依达拉奉右崁醇注射用浓溶液</t>
    <phoneticPr fontId="6" type="noConversion"/>
  </si>
  <si>
    <t>先声药业</t>
    <phoneticPr fontId="6" type="noConversion"/>
  </si>
  <si>
    <t>5ml:依达拉奉
10mg与右莰醇2.5mg</t>
    <phoneticPr fontId="6" type="noConversion"/>
  </si>
  <si>
    <t>盐酸鲁拉西酮片</t>
    <phoneticPr fontId="6" type="noConversion"/>
  </si>
  <si>
    <t>Sunovion</t>
    <phoneticPr fontId="6" type="noConversion"/>
  </si>
  <si>
    <t>替雷利珠单抗注射液</t>
    <phoneticPr fontId="6" type="noConversion"/>
  </si>
  <si>
    <t>百济神州</t>
    <phoneticPr fontId="6" type="noConversion"/>
  </si>
  <si>
    <t>10ml:100mg</t>
    <phoneticPr fontId="6" type="noConversion"/>
  </si>
  <si>
    <t>甲磺酸阿美替尼片</t>
    <phoneticPr fontId="6" type="noConversion"/>
  </si>
  <si>
    <t>55mg</t>
    <phoneticPr fontId="6" type="noConversion"/>
  </si>
  <si>
    <t>棕榈帕利哌酮酯注射液(3M)</t>
    <phoneticPr fontId="6" type="noConversion"/>
  </si>
  <si>
    <t xml:space="preserve">Janssen-Cilag International N.V. </t>
    <phoneticPr fontId="6" type="noConversion"/>
  </si>
  <si>
    <t>1.75ml:350mg</t>
    <phoneticPr fontId="6" type="noConversion"/>
  </si>
  <si>
    <t>布南色林片</t>
    <phoneticPr fontId="6" type="noConversion"/>
  </si>
  <si>
    <t>Sumitomo</t>
    <phoneticPr fontId="6" type="noConversion"/>
  </si>
  <si>
    <t>地舒单抗注射液</t>
    <phoneticPr fontId="6" type="noConversion"/>
  </si>
  <si>
    <t>安进</t>
    <phoneticPr fontId="6" type="noConversion"/>
  </si>
  <si>
    <t>120mg(1.7mL)</t>
    <phoneticPr fontId="6" type="noConversion"/>
  </si>
  <si>
    <t>甲磺酸仑伐替尼胶囊</t>
    <phoneticPr fontId="6" type="noConversion"/>
  </si>
  <si>
    <t>特瑞普利单抗注射液</t>
    <phoneticPr fontId="6" type="noConversion"/>
  </si>
  <si>
    <t>君实生物</t>
    <phoneticPr fontId="6" type="noConversion"/>
  </si>
  <si>
    <t>240mg(6ml)</t>
    <phoneticPr fontId="6" type="noConversion"/>
  </si>
  <si>
    <t>注射用卡瑞利珠单抗</t>
    <phoneticPr fontId="6" type="noConversion"/>
  </si>
  <si>
    <t>200mg</t>
    <phoneticPr fontId="6" type="noConversion"/>
  </si>
  <si>
    <t>曲美替尼片</t>
    <phoneticPr fontId="6" type="noConversion"/>
  </si>
  <si>
    <t>甲磺酸达拉非尼胶囊</t>
    <phoneticPr fontId="6" type="noConversion"/>
  </si>
  <si>
    <t>75mg</t>
    <phoneticPr fontId="6" type="noConversion"/>
  </si>
  <si>
    <t>注射用伊尼妥单抗</t>
    <phoneticPr fontId="6" type="noConversion"/>
  </si>
  <si>
    <t>三生国健</t>
    <phoneticPr fontId="6" type="noConversion"/>
  </si>
  <si>
    <t>泽布替尼胶囊</t>
    <phoneticPr fontId="6" type="noConversion"/>
  </si>
  <si>
    <t>80mg</t>
    <phoneticPr fontId="6" type="noConversion"/>
  </si>
  <si>
    <t>注射用紫衫醇脂质体</t>
    <phoneticPr fontId="6" type="noConversion"/>
  </si>
  <si>
    <t>2020医保谈判调入品种——中药</t>
    <phoneticPr fontId="4" type="noConversion"/>
  </si>
  <si>
    <t>中成药</t>
  </si>
  <si>
    <t>小儿牛黄清心散</t>
    <phoneticPr fontId="6" type="noConversion"/>
  </si>
  <si>
    <t>方健制药</t>
    <phoneticPr fontId="6" type="noConversion"/>
  </si>
  <si>
    <t>0.3g</t>
    <phoneticPr fontId="6" type="noConversion"/>
  </si>
  <si>
    <t>小儿牛黄清心散</t>
  </si>
  <si>
    <t>0.6g</t>
    <phoneticPr fontId="6" type="noConversion"/>
  </si>
  <si>
    <t>小儿荆杏止咳颗粒</t>
    <phoneticPr fontId="6" type="noConversion"/>
  </si>
  <si>
    <t>方盛制药</t>
    <phoneticPr fontId="6" type="noConversion"/>
  </si>
  <si>
    <t>5g(相当于饮片18.33g)</t>
    <phoneticPr fontId="6" type="noConversion"/>
  </si>
  <si>
    <r>
      <t>桑枝总生物碱片</t>
    </r>
    <r>
      <rPr>
        <sz val="11"/>
        <color theme="1"/>
        <rFont val="等线"/>
        <family val="2"/>
        <charset val="134"/>
        <scheme val="minor"/>
      </rPr>
      <t/>
    </r>
    <phoneticPr fontId="6" type="noConversion"/>
  </si>
  <si>
    <t>五和博澳药业</t>
    <phoneticPr fontId="6" type="noConversion"/>
  </si>
  <si>
    <t>谈判调入</t>
    <phoneticPr fontId="6" type="noConversion"/>
  </si>
  <si>
    <t>金银花口服液</t>
    <phoneticPr fontId="6" type="noConversion"/>
  </si>
  <si>
    <t>真奥金银花药业</t>
    <phoneticPr fontId="6" type="noConversion"/>
  </si>
  <si>
    <t>10ml</t>
    <phoneticPr fontId="6" type="noConversion"/>
  </si>
  <si>
    <t>20ml</t>
  </si>
  <si>
    <t>牛黄清感胶囊</t>
    <phoneticPr fontId="6" type="noConversion"/>
  </si>
  <si>
    <t>澳利达奈德制药</t>
    <phoneticPr fontId="6" type="noConversion"/>
  </si>
  <si>
    <t>柴芩清宁胶囊</t>
    <phoneticPr fontId="6" type="noConversion"/>
  </si>
  <si>
    <t>好博药业</t>
    <phoneticPr fontId="6" type="noConversion"/>
  </si>
  <si>
    <t>0.3g</t>
  </si>
  <si>
    <t>安儿宁颗粒</t>
    <phoneticPr fontId="6" type="noConversion"/>
  </si>
  <si>
    <t>金诃藏药</t>
    <phoneticPr fontId="6" type="noConversion"/>
  </si>
  <si>
    <t>疏清颗粒</t>
    <phoneticPr fontId="6" type="noConversion"/>
  </si>
  <si>
    <t>华康药业</t>
    <phoneticPr fontId="6" type="noConversion"/>
  </si>
  <si>
    <t>3g</t>
  </si>
  <si>
    <t>疏清颗粒</t>
  </si>
  <si>
    <t>6g</t>
  </si>
  <si>
    <t>通脉降糖胶囊</t>
    <phoneticPr fontId="6" type="noConversion"/>
  </si>
  <si>
    <t>天浩制药</t>
    <phoneticPr fontId="6" type="noConversion"/>
  </si>
  <si>
    <t>0.4g</t>
    <phoneticPr fontId="6" type="noConversion"/>
  </si>
  <si>
    <t>红花如意丸</t>
    <phoneticPr fontId="6" type="noConversion"/>
  </si>
  <si>
    <t>佛阁藏药</t>
    <phoneticPr fontId="6" type="noConversion"/>
  </si>
  <si>
    <t>0.2g</t>
  </si>
  <si>
    <t>五味苦参肠溶胶囊</t>
    <phoneticPr fontId="6" type="noConversion"/>
  </si>
  <si>
    <t>中惠药业</t>
    <phoneticPr fontId="6" type="noConversion"/>
  </si>
  <si>
    <t>0.4g</t>
  </si>
  <si>
    <t>缓痛止泻软胶囊</t>
    <phoneticPr fontId="6" type="noConversion"/>
  </si>
  <si>
    <t>康臣药业</t>
    <phoneticPr fontId="6" type="noConversion"/>
  </si>
  <si>
    <t>0.65g</t>
  </si>
  <si>
    <t>鸡骨草胶囊</t>
    <phoneticPr fontId="6" type="noConversion"/>
  </si>
  <si>
    <t>玉林制药</t>
    <phoneticPr fontId="6" type="noConversion"/>
  </si>
  <si>
    <t>0.5g</t>
  </si>
  <si>
    <t>清胃止痛微丸</t>
    <phoneticPr fontId="6" type="noConversion"/>
  </si>
  <si>
    <t>3.2g</t>
  </si>
  <si>
    <t>熊胆舒肝利胆胶囊</t>
    <phoneticPr fontId="6" type="noConversion"/>
  </si>
  <si>
    <t>名扬药业</t>
    <phoneticPr fontId="6" type="noConversion"/>
  </si>
  <si>
    <t>利胆止痛胶囊</t>
    <phoneticPr fontId="6" type="noConversion"/>
  </si>
  <si>
    <t>永孜堂制药</t>
    <phoneticPr fontId="6" type="noConversion"/>
  </si>
  <si>
    <t>甘海胃康胶囊</t>
    <phoneticPr fontId="6" type="noConversion"/>
  </si>
  <si>
    <t>东科制药</t>
    <phoneticPr fontId="6" type="noConversion"/>
  </si>
  <si>
    <t>参龙宁心胶囊</t>
    <phoneticPr fontId="6" type="noConversion"/>
  </si>
  <si>
    <t>健民制药</t>
    <phoneticPr fontId="6" type="noConversion"/>
  </si>
  <si>
    <t>降脂通络软胶囊</t>
    <phoneticPr fontId="6" type="noConversion"/>
  </si>
  <si>
    <t>神威药业</t>
    <phoneticPr fontId="6" type="noConversion"/>
  </si>
  <si>
    <t>50mg</t>
  </si>
  <si>
    <t>心脉隆注射液</t>
    <phoneticPr fontId="6" type="noConversion"/>
  </si>
  <si>
    <t>腾药制药</t>
    <phoneticPr fontId="6" type="noConversion"/>
  </si>
  <si>
    <t>2ml:100mg</t>
  </si>
  <si>
    <t>芍麻止痉颗粒</t>
    <phoneticPr fontId="6" type="noConversion"/>
  </si>
  <si>
    <t>天士力</t>
    <phoneticPr fontId="6" type="noConversion"/>
  </si>
  <si>
    <t>2.5g(相当于饮片9.4g)</t>
    <phoneticPr fontId="6" type="noConversion"/>
  </si>
  <si>
    <t>芍麻止痉颗粒</t>
  </si>
  <si>
    <t>5g(相当于饮片18.8g)</t>
  </si>
  <si>
    <t>蛭蛇通络胶囊</t>
    <phoneticPr fontId="6" type="noConversion"/>
  </si>
  <si>
    <t>如意珍宝片</t>
    <phoneticPr fontId="6" type="noConversion"/>
  </si>
  <si>
    <t>奇正藏药</t>
    <phoneticPr fontId="6" type="noConversion"/>
  </si>
  <si>
    <t>蒺藜皂苷胶囊</t>
    <phoneticPr fontId="6" type="noConversion"/>
  </si>
  <si>
    <t>长白山制药</t>
    <phoneticPr fontId="6" type="noConversion"/>
  </si>
  <si>
    <t>65mg</t>
  </si>
  <si>
    <t>热炎宁合剂</t>
    <phoneticPr fontId="6" type="noConversion"/>
  </si>
  <si>
    <t>清华德人西安幸福制药</t>
    <phoneticPr fontId="6" type="noConversion"/>
  </si>
  <si>
    <t>100ml/瓶(每1ml相当于饮片1.30g)</t>
    <phoneticPr fontId="6" type="noConversion"/>
  </si>
  <si>
    <t>连花清咳片</t>
    <phoneticPr fontId="6" type="noConversion"/>
  </si>
  <si>
    <t>以岭药业</t>
    <phoneticPr fontId="6" type="noConversion"/>
  </si>
  <si>
    <t>0.46g</t>
    <phoneticPr fontId="6" type="noConversion"/>
  </si>
  <si>
    <t>川芎清脑颗粒</t>
    <phoneticPr fontId="6" type="noConversion"/>
  </si>
  <si>
    <t>济川药业</t>
    <phoneticPr fontId="6" type="noConversion"/>
  </si>
  <si>
    <t>10g</t>
  </si>
  <si>
    <t>丹灯通脑软胶囊</t>
    <phoneticPr fontId="6" type="noConversion"/>
  </si>
  <si>
    <t>0.55g</t>
    <phoneticPr fontId="6" type="noConversion"/>
  </si>
  <si>
    <t>五虎口服液</t>
    <phoneticPr fontId="6" type="noConversion"/>
  </si>
  <si>
    <t>九旭药业</t>
    <phoneticPr fontId="6" type="noConversion"/>
  </si>
  <si>
    <t>筋骨止痛凝胶</t>
    <phoneticPr fontId="6" type="noConversion"/>
  </si>
  <si>
    <t>康缘药业</t>
    <phoneticPr fontId="6" type="noConversion"/>
  </si>
  <si>
    <t>15g</t>
    <phoneticPr fontId="6" type="noConversion"/>
  </si>
  <si>
    <t>默沙东</t>
    <phoneticPr fontId="6" type="noConversion"/>
  </si>
  <si>
    <t>处于协议有效期内，且按照协议需重新确定支付标准的谈判药品</t>
  </si>
  <si>
    <t>序号</t>
  </si>
  <si>
    <t>分类</t>
  </si>
  <si>
    <t>药品名称</t>
  </si>
  <si>
    <t>公司名称</t>
  </si>
  <si>
    <t>规格</t>
  </si>
  <si>
    <t>降幅</t>
  </si>
  <si>
    <t>本次谈判价格标准（元）</t>
  </si>
  <si>
    <t>西药</t>
  </si>
  <si>
    <t>阿卡波糖咀嚼片</t>
  </si>
  <si>
    <t>杭州中美华东</t>
  </si>
  <si>
    <t>阿昔替尼片</t>
  </si>
  <si>
    <t>辉瑞</t>
  </si>
  <si>
    <t>1mg/片</t>
  </si>
  <si>
    <t>5mg/片</t>
  </si>
  <si>
    <t>伊沙佐米胶囊</t>
  </si>
  <si>
    <t>武田</t>
  </si>
  <si>
    <t>4mg/粒</t>
  </si>
  <si>
    <t>2. 3mg/粒</t>
  </si>
  <si>
    <t>3mg/粒</t>
  </si>
  <si>
    <t>阿斯利康</t>
  </si>
  <si>
    <t>80mg/片</t>
  </si>
  <si>
    <t>40mg/片</t>
  </si>
  <si>
    <t>克唑替尼胶囊</t>
  </si>
  <si>
    <t>250mg/粒</t>
  </si>
  <si>
    <t>200mg/粒</t>
  </si>
  <si>
    <t>尼洛替尼胶囊</t>
  </si>
  <si>
    <t>诺华</t>
  </si>
  <si>
    <t>150mg/粒</t>
  </si>
  <si>
    <t>培门冬酶注射液</t>
  </si>
  <si>
    <t>江苏恒瑞</t>
  </si>
  <si>
    <t>2ml：1500IU/支</t>
  </si>
  <si>
    <t>5ml：3750IU/支</t>
  </si>
  <si>
    <t>培唑帕尼片</t>
  </si>
  <si>
    <t>400mg/片</t>
  </si>
  <si>
    <t>200mg/片</t>
  </si>
  <si>
    <t>拜耳</t>
  </si>
  <si>
    <t>维莫非尼片</t>
  </si>
  <si>
    <t>罗氏</t>
  </si>
  <si>
    <t>240mg/片</t>
  </si>
  <si>
    <t>西妥昔单抗注射液</t>
  </si>
  <si>
    <t>默克</t>
  </si>
  <si>
    <t>100mg（20ml）/瓶</t>
  </si>
  <si>
    <t>盐酸安罗替尼胶囊</t>
  </si>
  <si>
    <t>正大天晴</t>
  </si>
  <si>
    <t>10mg/粒</t>
  </si>
  <si>
    <t>12mg/粒</t>
  </si>
  <si>
    <t>8mg/粒</t>
  </si>
  <si>
    <t>西安杨森</t>
  </si>
  <si>
    <t>140mg/粒</t>
  </si>
  <si>
    <t>注射用奧曲肽微球</t>
  </si>
  <si>
    <t>30mg/瓶</t>
  </si>
  <si>
    <t>20mg/瓶</t>
  </si>
  <si>
    <t>处于协议有效期内，经国家药监部门批准，适应症或功能主治发生重大变化的谈判药品</t>
  </si>
  <si>
    <t>艾伯维</t>
  </si>
  <si>
    <t>40mg/0.4ml
40mg/0.8ml
(预填充式注射器、预填充式注射笔）</t>
  </si>
  <si>
    <t>奥拉帕利片</t>
  </si>
  <si>
    <t>150mg</t>
  </si>
  <si>
    <t>甲磺酸奧希替尼片</t>
  </si>
  <si>
    <t>塞瑞替尼胶曩</t>
  </si>
  <si>
    <t>天津红日药业</t>
  </si>
  <si>
    <t>10ml</t>
  </si>
  <si>
    <t>20年医保谈判前支付
标准（元）</t>
    <phoneticPr fontId="3" type="noConversion"/>
  </si>
  <si>
    <t>阿昔替尼片</t>
    <phoneticPr fontId="3" type="noConversion"/>
  </si>
  <si>
    <t>伊沙佐米胶囊</t>
    <phoneticPr fontId="3" type="noConversion"/>
  </si>
  <si>
    <t>甲磺酸奥希替尼片</t>
    <phoneticPr fontId="3" type="noConversion"/>
  </si>
  <si>
    <t>克唑替尼胶囊</t>
    <phoneticPr fontId="3" type="noConversion"/>
  </si>
  <si>
    <t>尼洛替尼胶囊</t>
    <phoneticPr fontId="3" type="noConversion"/>
  </si>
  <si>
    <t>培门冬酶注射液</t>
    <phoneticPr fontId="3" type="noConversion"/>
  </si>
  <si>
    <t>培唑帕尼片</t>
    <phoneticPr fontId="3" type="noConversion"/>
  </si>
  <si>
    <t>瑞戈非尼片</t>
    <phoneticPr fontId="3" type="noConversion"/>
  </si>
  <si>
    <t>西妥昔单抗注射液</t>
    <phoneticPr fontId="3" type="noConversion"/>
  </si>
  <si>
    <t>伊布替尼胶囊</t>
    <phoneticPr fontId="3" type="noConversion"/>
  </si>
  <si>
    <t>注射用奧曲肽微球</t>
    <phoneticPr fontId="3" type="noConversion"/>
  </si>
  <si>
    <t>阿达木单抗注射液</t>
    <phoneticPr fontId="3" type="noConversion"/>
  </si>
  <si>
    <t>盐酸安罗替尼胶囊</t>
    <phoneticPr fontId="3" type="noConversion"/>
  </si>
  <si>
    <t>血必净注射液</t>
    <phoneticPr fontId="3" type="noConversion"/>
  </si>
  <si>
    <t>200mg/粒</t>
    <phoneticPr fontId="3" type="noConversion"/>
  </si>
  <si>
    <t>90mg</t>
    <phoneticPr fontId="6" type="noConversion"/>
  </si>
  <si>
    <t>塞瑞替尼胶囊</t>
    <phoneticPr fontId="3" type="noConversion"/>
  </si>
  <si>
    <t>伊布替尼胶曩</t>
    <phoneticPr fontId="3" type="noConversion"/>
  </si>
  <si>
    <t>80mg(2ml)</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</si>
</sst>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等线"/>
      <family val="2"/>
      <charset val="134"/>
      <scheme val="minor"/>
    </font>
    <font>
      <sz val="10"/>
      <name val="Arial"/>
      <family val="2"/>
    </font>
    <font>
      <b/>
      <sz val="16"/>
      <color theme="1"/>
      <name val="微软雅黑 Light"/>
      <family val="2"/>
      <charset val="134"/>
    </font>
    <font>
      <sz val="9"/>
      <name val="等线"/>
      <family val="2"/>
      <charset val="134"/>
      <scheme val="minor"/>
    </font>
    <font>
      <sz val="9"/>
      <name val="等线"/>
      <family val="3"/>
      <charset val="134"/>
      <scheme val="minor"/>
    </font>
    <font>
      <b/>
      <sz val="11"/>
      <color theme="1"/>
      <name val="微软雅黑 Light"/>
      <family val="2"/>
      <charset val="134"/>
    </font>
    <font>
      <sz val="9"/>
      <name val="宋体"/>
      <family val="3"/>
      <charset val="134"/>
    </font>
    <font>
      <sz val="10"/>
      <name val="微软雅黑"/>
      <family val="2"/>
      <charset val="134"/>
    </font>
    <font>
      <sz val="10"/>
      <color rgb="FF222222"/>
      <name val="微软雅黑"/>
      <family val="2"/>
      <charset val="134"/>
    </font>
    <font>
      <sz val="10"/>
      <color rgb="FF000000"/>
      <name val="Times New Roman"/>
      <family val="1"/>
    </font>
    <font>
      <sz val="9"/>
      <color rgb="FF222222"/>
      <name val="Arial"/>
      <family val="2"/>
    </font>
    <font>
      <sz val="10"/>
      <color rgb="FF000000"/>
      <name val="等线"/>
      <family val="3"/>
      <charset val="134"/>
      <scheme val="minor"/>
    </font>
    <font>
      <sz val="10"/>
      <color rgb="FF000000"/>
      <name val="Microsoft YaHei"/>
      <family val="2"/>
      <charset val="134"/>
    </font>
    <font>
      <sz val="10"/>
      <color rgb="FF000000"/>
      <name val="微软雅黑"/>
      <family val="2"/>
      <charset val="134"/>
    </font>
    <font>
      <b/>
      <sz val="10"/>
      <color rgb="FF000000"/>
      <name val="微软雅黑"/>
      <family val="2"/>
      <charset val="134"/>
    </font>
    <font>
      <b/>
      <sz val="11"/>
      <name val="微软雅黑 Light"/>
      <family val="2"/>
      <charset val="134"/>
    </font>
    <font>
      <sz val="10"/>
      <color rgb="FFFF0000"/>
      <name val="微软雅黑"/>
      <family val="2"/>
      <charset val="134"/>
    </font>
  </fonts>
  <fills count="5">
    <fill>
      <patternFill patternType="none"/>
    </fill>
    <fill>
      <patternFill patternType="gray125"/>
    </fill>
    <fill>
      <patternFill patternType="solid">
        <fgColor theme="9" tint="0.79998168889431442"/>
        <bgColor indexed="64"/>
      </patternFill>
    </fill>
    <fill>
      <patternFill patternType="solid">
        <fgColor rgb="FF9BC2E6"/>
        <bgColor indexed="64"/>
      </patternFill>
    </fill>
    <fill>
      <patternFill patternType="solid">
        <fgColor rgb="FFDDEBF7"/>
        <bgColor indexed="64"/>
      </patternFill>
    </fill>
  </fills>
  <borders count="1">
    <border>
      <left/>
      <right/>
      <top/>
      <bottom/>
      <diagonal/>
    </border>
  </borders>
  <cellStyleXfs count="4">
    <xf numFmtId="0" fontId="0" fillId="0" borderId="0">
      <alignment vertical="center"/>
    </xf>
    <xf numFmtId="0" fontId="1" fillId="0" borderId="0">
      <alignment vertical="center"/>
    </xf>
    <xf numFmtId="9" fontId="1" fillId="0" borderId="0" applyFont="0" applyFill="0" applyBorder="0" applyAlignment="0" applyProtection="0">
      <alignment vertical="center"/>
    </xf>
    <xf numFmtId="0" fontId="9" fillId="0" borderId="0"/>
  </cellStyleXfs>
  <cellXfs count="32">
    <xf numFmtId="0" fontId="0" fillId="0" borderId="0" xfId="0">
      <alignment vertical="center"/>
    </xf>
    <xf numFmtId="0" fontId="1" fillId="0" borderId="0" xfId="1">
      <alignment vertical="center"/>
    </xf>
    <xf numFmtId="0" fontId="5" fillId="2" borderId="0" xfId="1" applyFont="1" applyFill="1" applyAlignment="1">
      <alignment horizontal="center" vertical="center" wrapText="1"/>
    </xf>
    <xf numFmtId="10" fontId="5" fillId="2" borderId="0" xfId="2" applyNumberFormat="1" applyFont="1" applyFill="1" applyAlignment="1">
      <alignment horizontal="center" vertical="center" wrapText="1"/>
    </xf>
    <xf numFmtId="0" fontId="7" fillId="0" borderId="0" xfId="1" applyFont="1" applyAlignment="1">
      <alignment horizontal="left" vertical="center"/>
    </xf>
    <xf numFmtId="0" fontId="7" fillId="0" borderId="0" xfId="1" applyFont="1" applyAlignment="1">
      <alignment horizontal="center" vertical="center"/>
    </xf>
    <xf numFmtId="10" fontId="7" fillId="0" borderId="0" xfId="2" applyNumberFormat="1" applyFont="1" applyBorder="1" applyAlignment="1">
      <alignment horizontal="center" vertical="center"/>
    </xf>
    <xf numFmtId="0" fontId="7" fillId="0" borderId="0" xfId="1" applyFont="1" applyAlignment="1">
      <alignment horizontal="center" vertical="center" wrapText="1"/>
    </xf>
    <xf numFmtId="0" fontId="8" fillId="0" borderId="0" xfId="1" applyFont="1" applyAlignment="1">
      <alignment horizontal="center" vertical="center"/>
    </xf>
    <xf numFmtId="0" fontId="7" fillId="0" borderId="0" xfId="3" applyFont="1" applyAlignment="1">
      <alignment horizontal="center" vertical="center" wrapText="1"/>
    </xf>
    <xf numFmtId="0" fontId="1" fillId="0" borderId="0" xfId="1" applyAlignment="1">
      <alignment horizontal="center" vertical="center"/>
    </xf>
    <xf numFmtId="10" fontId="0" fillId="0" borderId="0" xfId="2" applyNumberFormat="1" applyFont="1" applyAlignment="1">
      <alignment horizontal="center" vertical="center"/>
    </xf>
    <xf numFmtId="0" fontId="10" fillId="0" borderId="0" xfId="1"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7" fillId="0" borderId="0" xfId="1" applyFont="1" applyAlignment="1">
      <alignment horizontal="left" vertical="center"/>
    </xf>
    <xf numFmtId="10" fontId="11" fillId="0" borderId="0" xfId="0" applyNumberFormat="1" applyFont="1" applyAlignment="1">
      <alignment horizontal="center" vertical="center"/>
    </xf>
    <xf numFmtId="10" fontId="0" fillId="0" borderId="0" xfId="0" applyNumberFormat="1" applyAlignment="1">
      <alignment horizontal="center" vertical="center"/>
    </xf>
    <xf numFmtId="0" fontId="13" fillId="0" borderId="0" xfId="0" applyFont="1" applyAlignment="1">
      <alignment horizontal="center" vertical="center"/>
    </xf>
    <xf numFmtId="10" fontId="13" fillId="0" borderId="0" xfId="0" applyNumberFormat="1" applyFont="1" applyAlignment="1">
      <alignment horizontal="center" vertical="center"/>
    </xf>
    <xf numFmtId="0" fontId="7" fillId="0" borderId="0" xfId="1" applyFont="1" applyAlignment="1">
      <alignment horizontal="left" vertical="center" wrapText="1"/>
    </xf>
    <xf numFmtId="0" fontId="14" fillId="4" borderId="0" xfId="0" applyFont="1" applyFill="1" applyAlignment="1">
      <alignment horizontal="left" vertical="center"/>
    </xf>
    <xf numFmtId="0" fontId="14" fillId="4" borderId="0" xfId="0" applyFont="1" applyFill="1" applyAlignment="1">
      <alignment horizontal="center" vertical="center" wrapText="1"/>
    </xf>
    <xf numFmtId="10" fontId="14" fillId="4" borderId="0" xfId="0" applyNumberFormat="1" applyFont="1" applyFill="1" applyAlignment="1">
      <alignment horizontal="center" vertical="center" wrapText="1"/>
    </xf>
    <xf numFmtId="0" fontId="15" fillId="2" borderId="0" xfId="1" applyFont="1" applyFill="1" applyAlignment="1">
      <alignment horizontal="center" vertical="center" wrapText="1"/>
    </xf>
    <xf numFmtId="0" fontId="1" fillId="0" borderId="0" xfId="1" applyFont="1" applyAlignment="1">
      <alignment horizontal="center" vertical="center"/>
    </xf>
    <xf numFmtId="0" fontId="16" fillId="0" borderId="0" xfId="0" applyFont="1" applyAlignment="1">
      <alignment horizontal="center" vertical="center"/>
    </xf>
    <xf numFmtId="0" fontId="16" fillId="0" borderId="0" xfId="1" applyFont="1" applyAlignment="1">
      <alignment horizontal="center" vertical="center"/>
    </xf>
    <xf numFmtId="49" fontId="2" fillId="0" borderId="0" xfId="1" applyNumberFormat="1" applyFont="1" applyAlignment="1">
      <alignment horizontal="center" vertical="center" wrapText="1"/>
    </xf>
    <xf numFmtId="0" fontId="14" fillId="3" borderId="0" xfId="0" applyFont="1" applyFill="1" applyAlignment="1">
      <alignment horizontal="center" vertical="center"/>
    </xf>
  </cellXfs>
  <cellStyles count="4">
    <cellStyle name="百分比 2" xfId="2" xr:uid="{630D786C-2967-4440-88E6-BD88F8497836}"/>
    <cellStyle name="常规" xfId="0" builtinId="0"/>
    <cellStyle name="常规 2" xfId="1" xr:uid="{94B9EE00-534F-40A3-969A-47E9206AD0B5}"/>
    <cellStyle name="常规 3" xfId="3" xr:uid="{7BA6A67E-3BBB-41C7-A1D1-BB38937BFF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1BD6-B7F2-411E-BBB9-A395827D3E34}">
  <dimension ref="A1:H120"/>
  <sheetViews>
    <sheetView topLeftCell="A37" zoomScale="110" zoomScaleNormal="110" workbookViewId="0">
      <selection activeCell="M40" sqref="M40"/>
    </sheetView>
  </sheetViews>
  <sheetFormatPr defaultRowHeight="14.25"/>
  <cols>
    <col min="1" max="1" width="4.25" style="10" customWidth="1"/>
    <col min="2" max="2" width="9.75" style="10" customWidth="1"/>
    <col min="3" max="3" width="22" style="10" customWidth="1"/>
    <col min="4" max="4" width="10.75" style="10" customWidth="1"/>
    <col min="5" max="5" width="18.875" style="10" customWidth="1"/>
    <col min="6" max="6" width="14.375" style="10" customWidth="1"/>
    <col min="7" max="7" width="10.625" style="27" customWidth="1"/>
    <col min="8" max="8" width="8.25" style="11" bestFit="1" customWidth="1"/>
    <col min="9" max="16384" width="9" style="1"/>
  </cols>
  <sheetData>
    <row r="1" spans="1:8" ht="22.5" customHeight="1">
      <c r="A1" s="30" t="s">
        <v>0</v>
      </c>
      <c r="B1" s="30"/>
      <c r="C1" s="30"/>
      <c r="D1" s="30"/>
      <c r="E1" s="30"/>
      <c r="F1" s="30"/>
      <c r="G1" s="30"/>
      <c r="H1" s="30"/>
    </row>
    <row r="2" spans="1:8" s="4" customFormat="1" ht="66" customHeight="1">
      <c r="A2" s="2" t="s">
        <v>1</v>
      </c>
      <c r="B2" s="2" t="s">
        <v>2</v>
      </c>
      <c r="C2" s="2" t="s">
        <v>3</v>
      </c>
      <c r="D2" s="2" t="s">
        <v>4</v>
      </c>
      <c r="E2" s="2" t="s">
        <v>5</v>
      </c>
      <c r="F2" s="2" t="s">
        <v>6</v>
      </c>
      <c r="G2" s="26" t="s">
        <v>7</v>
      </c>
      <c r="H2" s="3" t="s">
        <v>8</v>
      </c>
    </row>
    <row r="3" spans="1:8" s="4" customFormat="1" ht="40.5" customHeight="1">
      <c r="A3" s="5">
        <v>1</v>
      </c>
      <c r="B3" s="5" t="s">
        <v>9</v>
      </c>
      <c r="C3" s="7" t="s">
        <v>10</v>
      </c>
      <c r="D3" s="5" t="s">
        <v>11</v>
      </c>
      <c r="E3" s="5" t="s">
        <v>360</v>
      </c>
      <c r="F3" s="5"/>
      <c r="G3" s="5">
        <v>4780</v>
      </c>
      <c r="H3" s="6"/>
    </row>
    <row r="4" spans="1:8" s="4" customFormat="1" ht="57.75" customHeight="1">
      <c r="A4" s="5">
        <v>2</v>
      </c>
      <c r="B4" s="5" t="s">
        <v>9</v>
      </c>
      <c r="C4" s="5" t="s">
        <v>14</v>
      </c>
      <c r="D4" s="5" t="s">
        <v>15</v>
      </c>
      <c r="E4" s="7" t="s">
        <v>16</v>
      </c>
      <c r="F4" s="5">
        <v>68.44</v>
      </c>
      <c r="G4" s="5">
        <v>41</v>
      </c>
      <c r="H4" s="6">
        <f>(F4-G4)/F4</f>
        <v>0.40093512565751022</v>
      </c>
    </row>
    <row r="5" spans="1:8" s="4" customFormat="1" ht="53.25" customHeight="1">
      <c r="A5" s="5">
        <v>3</v>
      </c>
      <c r="B5" s="5" t="s">
        <v>9</v>
      </c>
      <c r="C5" s="5" t="s">
        <v>17</v>
      </c>
      <c r="D5" s="5" t="s">
        <v>15</v>
      </c>
      <c r="E5" s="7" t="s">
        <v>18</v>
      </c>
      <c r="F5" s="5"/>
      <c r="G5" s="5">
        <v>63</v>
      </c>
      <c r="H5" s="6"/>
    </row>
    <row r="6" spans="1:8" s="4" customFormat="1" ht="23.1" customHeight="1">
      <c r="A6" s="5">
        <v>4</v>
      </c>
      <c r="B6" s="5" t="s">
        <v>9</v>
      </c>
      <c r="C6" s="5" t="s">
        <v>19</v>
      </c>
      <c r="D6" s="5" t="s">
        <v>20</v>
      </c>
      <c r="E6" s="5" t="s">
        <v>21</v>
      </c>
      <c r="F6" s="5">
        <v>1976</v>
      </c>
      <c r="G6" s="5">
        <v>755</v>
      </c>
      <c r="H6" s="6">
        <f>(F6-G6)/F6</f>
        <v>0.61791497975708498</v>
      </c>
    </row>
    <row r="7" spans="1:8" s="4" customFormat="1" ht="23.1" customHeight="1">
      <c r="A7" s="5">
        <v>5</v>
      </c>
      <c r="B7" s="5" t="s">
        <v>9</v>
      </c>
      <c r="C7" s="5" t="s">
        <v>22</v>
      </c>
      <c r="D7" s="5" t="s">
        <v>15</v>
      </c>
      <c r="E7" s="5" t="s">
        <v>23</v>
      </c>
      <c r="F7" s="5">
        <v>375</v>
      </c>
      <c r="G7" s="29">
        <v>242</v>
      </c>
      <c r="H7" s="6">
        <f>(F7-G7)/F7</f>
        <v>0.35466666666666669</v>
      </c>
    </row>
    <row r="8" spans="1:8" s="4" customFormat="1" ht="23.1" customHeight="1">
      <c r="A8" s="5">
        <v>6</v>
      </c>
      <c r="B8" s="5" t="s">
        <v>9</v>
      </c>
      <c r="C8" s="5" t="s">
        <v>24</v>
      </c>
      <c r="D8" s="5" t="s">
        <v>15</v>
      </c>
      <c r="E8" s="5" t="s">
        <v>25</v>
      </c>
      <c r="F8" s="5">
        <v>375</v>
      </c>
      <c r="G8" s="29">
        <v>228</v>
      </c>
      <c r="H8" s="6">
        <f t="shared" ref="H8:H14" si="0">(F8-G8)/F8</f>
        <v>0.39200000000000002</v>
      </c>
    </row>
    <row r="9" spans="1:8" s="4" customFormat="1" ht="23.1" customHeight="1">
      <c r="A9" s="5">
        <v>7</v>
      </c>
      <c r="B9" s="5" t="s">
        <v>9</v>
      </c>
      <c r="C9" s="5" t="s">
        <v>26</v>
      </c>
      <c r="D9" s="5" t="s">
        <v>27</v>
      </c>
      <c r="E9" s="8" t="s">
        <v>28</v>
      </c>
      <c r="F9" s="5"/>
      <c r="G9" s="5" t="s">
        <v>13</v>
      </c>
      <c r="H9" s="6"/>
    </row>
    <row r="10" spans="1:8" s="4" customFormat="1" ht="23.1" customHeight="1">
      <c r="A10" s="5">
        <v>7</v>
      </c>
      <c r="B10" s="5" t="s">
        <v>9</v>
      </c>
      <c r="C10" s="5" t="s">
        <v>26</v>
      </c>
      <c r="D10" s="5" t="s">
        <v>27</v>
      </c>
      <c r="E10" s="5" t="s">
        <v>29</v>
      </c>
      <c r="F10" s="5"/>
      <c r="G10" s="5" t="s">
        <v>13</v>
      </c>
      <c r="H10" s="6"/>
    </row>
    <row r="11" spans="1:8" s="4" customFormat="1" ht="23.1" customHeight="1">
      <c r="A11" s="5">
        <v>7</v>
      </c>
      <c r="B11" s="5" t="s">
        <v>9</v>
      </c>
      <c r="C11" s="5" t="s">
        <v>26</v>
      </c>
      <c r="D11" s="5" t="s">
        <v>27</v>
      </c>
      <c r="E11" s="5" t="s">
        <v>30</v>
      </c>
      <c r="F11" s="5"/>
      <c r="G11" s="5" t="s">
        <v>13</v>
      </c>
      <c r="H11" s="6"/>
    </row>
    <row r="12" spans="1:8" s="4" customFormat="1" ht="23.1" customHeight="1">
      <c r="A12" s="5">
        <v>8</v>
      </c>
      <c r="B12" s="5" t="s">
        <v>9</v>
      </c>
      <c r="C12" s="5" t="s">
        <v>31</v>
      </c>
      <c r="D12" s="5" t="s">
        <v>32</v>
      </c>
      <c r="E12" s="5" t="s">
        <v>23</v>
      </c>
      <c r="F12" s="5">
        <v>14.21</v>
      </c>
      <c r="G12" s="5">
        <v>4.5199999999999996</v>
      </c>
      <c r="H12" s="6">
        <f t="shared" si="0"/>
        <v>0.68191414496833225</v>
      </c>
    </row>
    <row r="13" spans="1:8" s="4" customFormat="1" ht="23.1" customHeight="1">
      <c r="A13" s="5">
        <v>9</v>
      </c>
      <c r="B13" s="5" t="s">
        <v>9</v>
      </c>
      <c r="C13" s="5" t="s">
        <v>34</v>
      </c>
      <c r="D13" s="5" t="s">
        <v>35</v>
      </c>
      <c r="E13" s="5" t="s">
        <v>36</v>
      </c>
      <c r="F13" s="5">
        <v>346</v>
      </c>
      <c r="G13" s="5">
        <v>144.80000000000001</v>
      </c>
      <c r="H13" s="6">
        <f t="shared" si="0"/>
        <v>0.58150289017341039</v>
      </c>
    </row>
    <row r="14" spans="1:8" s="4" customFormat="1" ht="23.1" customHeight="1">
      <c r="A14" s="5">
        <v>9</v>
      </c>
      <c r="B14" s="5" t="s">
        <v>9</v>
      </c>
      <c r="C14" s="5" t="s">
        <v>34</v>
      </c>
      <c r="D14" s="5" t="s">
        <v>35</v>
      </c>
      <c r="E14" s="5" t="s">
        <v>37</v>
      </c>
      <c r="F14" s="5">
        <v>640.91999999999996</v>
      </c>
      <c r="G14" s="5">
        <v>246.16</v>
      </c>
      <c r="H14" s="6">
        <f t="shared" si="0"/>
        <v>0.61592710478686885</v>
      </c>
    </row>
    <row r="15" spans="1:8" s="4" customFormat="1" ht="23.1" customHeight="1">
      <c r="A15" s="5">
        <v>10</v>
      </c>
      <c r="B15" s="5" t="s">
        <v>9</v>
      </c>
      <c r="C15" s="5" t="s">
        <v>38</v>
      </c>
      <c r="D15" s="5" t="s">
        <v>281</v>
      </c>
      <c r="E15" s="5" t="s">
        <v>40</v>
      </c>
      <c r="F15" s="5"/>
      <c r="G15" s="5">
        <v>3.46</v>
      </c>
      <c r="H15" s="6"/>
    </row>
    <row r="16" spans="1:8" s="4" customFormat="1" ht="23.1" customHeight="1">
      <c r="A16" s="5">
        <v>11</v>
      </c>
      <c r="B16" s="5" t="s">
        <v>9</v>
      </c>
      <c r="C16" s="5" t="s">
        <v>41</v>
      </c>
      <c r="D16" s="5" t="s">
        <v>42</v>
      </c>
      <c r="E16" s="5" t="s">
        <v>43</v>
      </c>
      <c r="F16" s="5">
        <v>2.8</v>
      </c>
      <c r="G16" s="9">
        <v>0.57999999999999996</v>
      </c>
      <c r="H16" s="6">
        <f>(F16-G16)/F16</f>
        <v>0.79285714285714282</v>
      </c>
    </row>
    <row r="17" spans="1:8" s="4" customFormat="1" ht="23.1" customHeight="1">
      <c r="A17" s="5">
        <v>11</v>
      </c>
      <c r="B17" s="5" t="s">
        <v>9</v>
      </c>
      <c r="C17" s="5" t="s">
        <v>44</v>
      </c>
      <c r="D17" s="5" t="s">
        <v>42</v>
      </c>
      <c r="E17" s="5" t="s">
        <v>45</v>
      </c>
      <c r="F17" s="5"/>
      <c r="G17" s="9">
        <v>0.99</v>
      </c>
      <c r="H17" s="6"/>
    </row>
    <row r="18" spans="1:8" s="4" customFormat="1" ht="23.1" customHeight="1">
      <c r="A18" s="5">
        <v>12</v>
      </c>
      <c r="B18" s="5" t="s">
        <v>9</v>
      </c>
      <c r="C18" s="5" t="s">
        <v>46</v>
      </c>
      <c r="D18" s="5" t="s">
        <v>47</v>
      </c>
      <c r="E18" s="5" t="s">
        <v>48</v>
      </c>
      <c r="F18" s="5">
        <v>158</v>
      </c>
      <c r="G18" s="5">
        <v>88</v>
      </c>
      <c r="H18" s="6">
        <f t="shared" ref="H18:H20" si="1">(F18-G18)/F18</f>
        <v>0.44303797468354428</v>
      </c>
    </row>
    <row r="19" spans="1:8" s="4" customFormat="1" ht="23.1" customHeight="1">
      <c r="A19" s="5">
        <v>13</v>
      </c>
      <c r="B19" s="5" t="s">
        <v>9</v>
      </c>
      <c r="C19" s="5" t="s">
        <v>49</v>
      </c>
      <c r="D19" s="5" t="s">
        <v>50</v>
      </c>
      <c r="E19" s="5" t="s">
        <v>51</v>
      </c>
      <c r="F19" s="5">
        <v>17290</v>
      </c>
      <c r="G19" s="5">
        <v>4980</v>
      </c>
      <c r="H19" s="6">
        <f t="shared" si="1"/>
        <v>0.7119722382880278</v>
      </c>
    </row>
    <row r="20" spans="1:8" s="4" customFormat="1" ht="23.1" customHeight="1">
      <c r="A20" s="5">
        <v>14</v>
      </c>
      <c r="B20" s="5" t="s">
        <v>9</v>
      </c>
      <c r="C20" s="5" t="s">
        <v>52</v>
      </c>
      <c r="D20" s="5" t="s">
        <v>53</v>
      </c>
      <c r="E20" s="5" t="s">
        <v>54</v>
      </c>
      <c r="F20" s="5">
        <v>50.5</v>
      </c>
      <c r="G20" s="5">
        <v>12.88</v>
      </c>
      <c r="H20" s="6">
        <f t="shared" si="1"/>
        <v>0.74495049504950495</v>
      </c>
    </row>
    <row r="21" spans="1:8" s="4" customFormat="1" ht="23.1" customHeight="1">
      <c r="A21" s="5">
        <v>15</v>
      </c>
      <c r="B21" s="5" t="s">
        <v>9</v>
      </c>
      <c r="C21" s="5" t="s">
        <v>55</v>
      </c>
      <c r="D21" s="5" t="s">
        <v>56</v>
      </c>
      <c r="E21" s="5" t="s">
        <v>57</v>
      </c>
      <c r="F21" s="5"/>
      <c r="G21" s="5">
        <v>476</v>
      </c>
      <c r="H21" s="6"/>
    </row>
    <row r="22" spans="1:8" s="4" customFormat="1" ht="41.25" customHeight="1">
      <c r="A22" s="5">
        <v>16</v>
      </c>
      <c r="B22" s="5" t="s">
        <v>9</v>
      </c>
      <c r="C22" s="5" t="s">
        <v>58</v>
      </c>
      <c r="D22" s="7" t="s">
        <v>59</v>
      </c>
      <c r="E22" s="5" t="s">
        <v>60</v>
      </c>
      <c r="F22" s="5"/>
      <c r="G22" s="5">
        <v>6.26</v>
      </c>
      <c r="H22" s="6"/>
    </row>
    <row r="23" spans="1:8" s="4" customFormat="1" ht="42" customHeight="1">
      <c r="A23" s="5">
        <v>16</v>
      </c>
      <c r="B23" s="5" t="s">
        <v>9</v>
      </c>
      <c r="C23" s="5" t="s">
        <v>58</v>
      </c>
      <c r="D23" s="7" t="s">
        <v>59</v>
      </c>
      <c r="E23" s="5" t="s">
        <v>61</v>
      </c>
      <c r="F23" s="5">
        <v>26.5</v>
      </c>
      <c r="G23" s="5">
        <v>10.65</v>
      </c>
      <c r="H23" s="6">
        <f t="shared" ref="H23:H33" si="2">(F23-G23)/F23</f>
        <v>0.59811320754716979</v>
      </c>
    </row>
    <row r="24" spans="1:8" s="4" customFormat="1" ht="38.25" customHeight="1">
      <c r="A24" s="5">
        <v>16</v>
      </c>
      <c r="B24" s="5" t="s">
        <v>9</v>
      </c>
      <c r="C24" s="5" t="s">
        <v>58</v>
      </c>
      <c r="D24" s="7" t="s">
        <v>59</v>
      </c>
      <c r="E24" s="5" t="s">
        <v>62</v>
      </c>
      <c r="F24" s="5">
        <v>45</v>
      </c>
      <c r="G24" s="5">
        <v>18.11</v>
      </c>
      <c r="H24" s="6">
        <f t="shared" si="2"/>
        <v>0.59755555555555562</v>
      </c>
    </row>
    <row r="25" spans="1:8" s="4" customFormat="1" ht="63.75" customHeight="1">
      <c r="A25" s="5">
        <v>17</v>
      </c>
      <c r="B25" s="5" t="s">
        <v>9</v>
      </c>
      <c r="C25" s="5" t="s">
        <v>63</v>
      </c>
      <c r="D25" s="12" t="s">
        <v>64</v>
      </c>
      <c r="E25" s="7" t="s">
        <v>65</v>
      </c>
      <c r="F25" s="5">
        <v>4.2300000000000004</v>
      </c>
      <c r="G25" s="9">
        <v>1.5</v>
      </c>
      <c r="H25" s="6">
        <f t="shared" si="2"/>
        <v>0.64539007092198586</v>
      </c>
    </row>
    <row r="26" spans="1:8" s="4" customFormat="1" ht="36.75" customHeight="1">
      <c r="A26" s="5">
        <v>18</v>
      </c>
      <c r="B26" s="5" t="s">
        <v>9</v>
      </c>
      <c r="C26" s="7" t="s">
        <v>66</v>
      </c>
      <c r="D26" s="7" t="s">
        <v>67</v>
      </c>
      <c r="E26" s="7" t="s">
        <v>68</v>
      </c>
      <c r="F26" s="5">
        <v>8000</v>
      </c>
      <c r="G26" s="9">
        <v>3688</v>
      </c>
      <c r="H26" s="6">
        <f t="shared" si="2"/>
        <v>0.53900000000000003</v>
      </c>
    </row>
    <row r="27" spans="1:8" s="4" customFormat="1" ht="23.1" customHeight="1">
      <c r="A27" s="5">
        <v>19</v>
      </c>
      <c r="B27" s="5" t="s">
        <v>9</v>
      </c>
      <c r="C27" s="5" t="s">
        <v>69</v>
      </c>
      <c r="D27" s="5" t="s">
        <v>70</v>
      </c>
      <c r="E27" s="5" t="s">
        <v>71</v>
      </c>
      <c r="F27" s="5">
        <v>1980</v>
      </c>
      <c r="G27" s="9">
        <v>198</v>
      </c>
      <c r="H27" s="6">
        <f t="shared" si="2"/>
        <v>0.9</v>
      </c>
    </row>
    <row r="28" spans="1:8" s="4" customFormat="1" ht="23.1" customHeight="1">
      <c r="A28" s="5">
        <v>20</v>
      </c>
      <c r="B28" s="5" t="s">
        <v>9</v>
      </c>
      <c r="C28" s="5" t="s">
        <v>72</v>
      </c>
      <c r="D28" s="5" t="s">
        <v>50</v>
      </c>
      <c r="E28" s="5" t="s">
        <v>73</v>
      </c>
      <c r="F28" s="5">
        <v>28</v>
      </c>
      <c r="G28" s="5">
        <v>9.9</v>
      </c>
      <c r="H28" s="6">
        <f t="shared" si="2"/>
        <v>0.64642857142857146</v>
      </c>
    </row>
    <row r="29" spans="1:8" s="4" customFormat="1" ht="23.1" customHeight="1">
      <c r="A29" s="5">
        <v>21</v>
      </c>
      <c r="B29" s="5" t="s">
        <v>9</v>
      </c>
      <c r="C29" s="5" t="s">
        <v>74</v>
      </c>
      <c r="D29" s="5" t="s">
        <v>75</v>
      </c>
      <c r="E29" s="5" t="s">
        <v>76</v>
      </c>
      <c r="F29" s="5"/>
      <c r="G29" s="9">
        <v>1.76</v>
      </c>
      <c r="H29" s="6"/>
    </row>
    <row r="30" spans="1:8" s="4" customFormat="1" ht="23.1" customHeight="1">
      <c r="A30" s="5">
        <v>21</v>
      </c>
      <c r="B30" s="5" t="s">
        <v>9</v>
      </c>
      <c r="C30" s="5" t="s">
        <v>74</v>
      </c>
      <c r="D30" s="5" t="s">
        <v>75</v>
      </c>
      <c r="E30" s="5" t="s">
        <v>77</v>
      </c>
      <c r="F30" s="5">
        <v>7.58</v>
      </c>
      <c r="G30" s="9">
        <v>4.08</v>
      </c>
      <c r="H30" s="6">
        <f>(F30-G30)/F30</f>
        <v>0.46174142480211083</v>
      </c>
    </row>
    <row r="31" spans="1:8" s="4" customFormat="1" ht="23.1" customHeight="1">
      <c r="A31" s="5">
        <v>22</v>
      </c>
      <c r="B31" s="5" t="s">
        <v>9</v>
      </c>
      <c r="C31" s="5" t="s">
        <v>78</v>
      </c>
      <c r="D31" s="5" t="s">
        <v>79</v>
      </c>
      <c r="E31" s="5" t="s">
        <v>80</v>
      </c>
      <c r="F31" s="5">
        <v>420</v>
      </c>
      <c r="G31" s="5">
        <v>149</v>
      </c>
      <c r="H31" s="6">
        <f t="shared" si="2"/>
        <v>0.64523809523809528</v>
      </c>
    </row>
    <row r="32" spans="1:8" s="4" customFormat="1" ht="23.1" customHeight="1">
      <c r="A32" s="5">
        <v>23</v>
      </c>
      <c r="B32" s="5" t="s">
        <v>9</v>
      </c>
      <c r="C32" s="5" t="s">
        <v>81</v>
      </c>
      <c r="D32" s="5" t="s">
        <v>82</v>
      </c>
      <c r="E32" s="5" t="s">
        <v>83</v>
      </c>
      <c r="F32" s="5">
        <v>295</v>
      </c>
      <c r="G32" s="9">
        <v>110</v>
      </c>
      <c r="H32" s="6">
        <f t="shared" si="2"/>
        <v>0.6271186440677966</v>
      </c>
    </row>
    <row r="33" spans="1:8" s="4" customFormat="1" ht="23.1" customHeight="1">
      <c r="A33" s="5">
        <v>23</v>
      </c>
      <c r="B33" s="5" t="s">
        <v>9</v>
      </c>
      <c r="C33" s="5" t="s">
        <v>81</v>
      </c>
      <c r="D33" s="5" t="s">
        <v>82</v>
      </c>
      <c r="E33" s="5" t="s">
        <v>84</v>
      </c>
      <c r="F33" s="5">
        <v>395</v>
      </c>
      <c r="G33" s="9">
        <v>187</v>
      </c>
      <c r="H33" s="6">
        <f t="shared" si="2"/>
        <v>0.52658227848101269</v>
      </c>
    </row>
    <row r="34" spans="1:8" s="4" customFormat="1" ht="23.1" customHeight="1">
      <c r="A34" s="5">
        <v>24</v>
      </c>
      <c r="B34" s="5" t="s">
        <v>9</v>
      </c>
      <c r="C34" s="5" t="s">
        <v>85</v>
      </c>
      <c r="D34" s="5" t="s">
        <v>86</v>
      </c>
      <c r="E34" s="5" t="s">
        <v>87</v>
      </c>
      <c r="F34" s="5">
        <v>420</v>
      </c>
      <c r="G34" s="5">
        <v>191</v>
      </c>
      <c r="H34" s="6">
        <f>(F34-G34)/F34</f>
        <v>0.54523809523809519</v>
      </c>
    </row>
    <row r="35" spans="1:8" s="4" customFormat="1" ht="23.1" customHeight="1">
      <c r="A35" s="5">
        <v>25</v>
      </c>
      <c r="B35" s="5" t="s">
        <v>9</v>
      </c>
      <c r="C35" s="5" t="s">
        <v>88</v>
      </c>
      <c r="D35" s="5" t="s">
        <v>89</v>
      </c>
      <c r="E35" s="5" t="s">
        <v>90</v>
      </c>
      <c r="F35" s="5">
        <v>496</v>
      </c>
      <c r="G35" s="9">
        <v>138</v>
      </c>
      <c r="H35" s="6">
        <f>(F35-G35)/F35</f>
        <v>0.72177419354838712</v>
      </c>
    </row>
    <row r="36" spans="1:8" s="4" customFormat="1" ht="43.5" customHeight="1">
      <c r="A36" s="5">
        <v>26</v>
      </c>
      <c r="B36" s="5" t="s">
        <v>9</v>
      </c>
      <c r="C36" s="5" t="s">
        <v>91</v>
      </c>
      <c r="D36" s="7" t="s">
        <v>92</v>
      </c>
      <c r="E36" s="5" t="s">
        <v>93</v>
      </c>
      <c r="F36" s="5">
        <v>39.630000000000003</v>
      </c>
      <c r="G36" s="9">
        <v>15.3</v>
      </c>
      <c r="H36" s="6">
        <f t="shared" ref="H36:H39" si="3">(F36-G36)/F36</f>
        <v>0.6139288417865254</v>
      </c>
    </row>
    <row r="37" spans="1:8" s="4" customFormat="1" ht="45.75" customHeight="1">
      <c r="A37" s="5">
        <v>27</v>
      </c>
      <c r="B37" s="5" t="s">
        <v>9</v>
      </c>
      <c r="C37" s="5" t="s">
        <v>94</v>
      </c>
      <c r="D37" s="7" t="s">
        <v>59</v>
      </c>
      <c r="E37" s="5" t="s">
        <v>95</v>
      </c>
      <c r="F37" s="5">
        <v>32.5</v>
      </c>
      <c r="G37" s="9">
        <v>9.8000000000000007</v>
      </c>
      <c r="H37" s="6">
        <f t="shared" si="3"/>
        <v>0.69846153846153847</v>
      </c>
    </row>
    <row r="38" spans="1:8" s="4" customFormat="1" ht="36.75" customHeight="1">
      <c r="A38" s="5">
        <v>28</v>
      </c>
      <c r="B38" s="5" t="s">
        <v>9</v>
      </c>
      <c r="C38" s="5" t="s">
        <v>96</v>
      </c>
      <c r="D38" s="7" t="s">
        <v>97</v>
      </c>
      <c r="E38" s="5" t="s">
        <v>98</v>
      </c>
      <c r="F38" s="5">
        <v>17.600000000000001</v>
      </c>
      <c r="G38" s="5">
        <v>8.18</v>
      </c>
      <c r="H38" s="6">
        <f t="shared" si="3"/>
        <v>0.53522727272727277</v>
      </c>
    </row>
    <row r="39" spans="1:8" s="4" customFormat="1" ht="68.25" customHeight="1">
      <c r="A39" s="5">
        <v>29</v>
      </c>
      <c r="B39" s="5" t="s">
        <v>9</v>
      </c>
      <c r="C39" s="5" t="s">
        <v>99</v>
      </c>
      <c r="D39" s="7" t="s">
        <v>100</v>
      </c>
      <c r="E39" s="7" t="s">
        <v>101</v>
      </c>
      <c r="F39" s="5">
        <v>618</v>
      </c>
      <c r="G39" s="5">
        <v>192</v>
      </c>
      <c r="H39" s="6">
        <f t="shared" si="3"/>
        <v>0.68932038834951459</v>
      </c>
    </row>
    <row r="40" spans="1:8" s="4" customFormat="1" ht="92.25" customHeight="1">
      <c r="A40" s="5">
        <v>30</v>
      </c>
      <c r="B40" s="5" t="s">
        <v>9</v>
      </c>
      <c r="C40" s="5" t="s">
        <v>102</v>
      </c>
      <c r="D40" s="7" t="s">
        <v>103</v>
      </c>
      <c r="E40" s="7" t="s">
        <v>104</v>
      </c>
      <c r="F40" s="5">
        <v>900</v>
      </c>
      <c r="G40" s="5">
        <v>239</v>
      </c>
      <c r="H40" s="6">
        <f>(F40-G40)/F40</f>
        <v>0.73444444444444446</v>
      </c>
    </row>
    <row r="41" spans="1:8" s="4" customFormat="1" ht="59.25" customHeight="1">
      <c r="A41" s="5">
        <v>31</v>
      </c>
      <c r="B41" s="5" t="s">
        <v>9</v>
      </c>
      <c r="C41" s="5" t="s">
        <v>105</v>
      </c>
      <c r="D41" s="7" t="s">
        <v>100</v>
      </c>
      <c r="E41" s="7" t="s">
        <v>106</v>
      </c>
      <c r="F41" s="5">
        <v>880</v>
      </c>
      <c r="G41" s="5">
        <v>239</v>
      </c>
      <c r="H41" s="6">
        <f>(F41-G41)/F41</f>
        <v>0.72840909090909089</v>
      </c>
    </row>
    <row r="42" spans="1:8" s="4" customFormat="1" ht="23.1" customHeight="1">
      <c r="A42" s="5">
        <v>32</v>
      </c>
      <c r="B42" s="5" t="s">
        <v>9</v>
      </c>
      <c r="C42" s="5" t="s">
        <v>107</v>
      </c>
      <c r="D42" s="5" t="s">
        <v>108</v>
      </c>
      <c r="E42" s="5" t="s">
        <v>109</v>
      </c>
      <c r="F42" s="5">
        <v>268</v>
      </c>
      <c r="G42" s="9">
        <v>68.900000000000006</v>
      </c>
      <c r="H42" s="6">
        <f>(F42-G42)/F42</f>
        <v>0.74291044776119397</v>
      </c>
    </row>
    <row r="43" spans="1:8" s="4" customFormat="1" ht="23.1" customHeight="1">
      <c r="A43" s="5">
        <v>33</v>
      </c>
      <c r="B43" s="5" t="s">
        <v>9</v>
      </c>
      <c r="C43" s="5" t="s">
        <v>110</v>
      </c>
      <c r="D43" s="5" t="s">
        <v>15</v>
      </c>
      <c r="E43" s="5" t="s">
        <v>111</v>
      </c>
      <c r="F43" s="5">
        <v>2998</v>
      </c>
      <c r="G43" s="5">
        <v>1188</v>
      </c>
      <c r="H43" s="6">
        <f>(F43-G43)/F43</f>
        <v>0.6037358238825884</v>
      </c>
    </row>
    <row r="44" spans="1:8" s="4" customFormat="1" ht="41.25" customHeight="1">
      <c r="A44" s="5">
        <v>34</v>
      </c>
      <c r="B44" s="5" t="s">
        <v>9</v>
      </c>
      <c r="C44" s="5" t="s">
        <v>112</v>
      </c>
      <c r="D44" s="5" t="s">
        <v>113</v>
      </c>
      <c r="E44" s="7" t="s">
        <v>114</v>
      </c>
      <c r="F44" s="5">
        <v>6666</v>
      </c>
      <c r="G44" s="5">
        <v>3160</v>
      </c>
      <c r="H44" s="6">
        <f t="shared" ref="H44" si="4">(F44-G44)/F44</f>
        <v>0.52595259525952598</v>
      </c>
    </row>
    <row r="45" spans="1:8" s="4" customFormat="1" ht="89.25" customHeight="1">
      <c r="A45" s="5">
        <v>35</v>
      </c>
      <c r="B45" s="5" t="s">
        <v>9</v>
      </c>
      <c r="C45" s="5" t="s">
        <v>115</v>
      </c>
      <c r="D45" s="5" t="s">
        <v>116</v>
      </c>
      <c r="E45" s="7" t="s">
        <v>117</v>
      </c>
      <c r="F45" s="5">
        <v>142.71</v>
      </c>
      <c r="G45" s="5">
        <v>119.5</v>
      </c>
      <c r="H45" s="6">
        <f>(F45-G45)/F45</f>
        <v>0.16263751664214146</v>
      </c>
    </row>
    <row r="46" spans="1:8" s="4" customFormat="1" ht="34.5" customHeight="1">
      <c r="A46" s="5">
        <v>36</v>
      </c>
      <c r="B46" s="5" t="s">
        <v>9</v>
      </c>
      <c r="C46" s="7" t="s">
        <v>118</v>
      </c>
      <c r="D46" s="5" t="s">
        <v>119</v>
      </c>
      <c r="E46" s="5" t="s">
        <v>120</v>
      </c>
      <c r="F46" s="5">
        <v>19.5</v>
      </c>
      <c r="G46" s="9">
        <v>3.69</v>
      </c>
      <c r="H46" s="6">
        <f t="shared" ref="H46" si="5">(F46-G46)/F46</f>
        <v>0.8107692307692308</v>
      </c>
    </row>
    <row r="47" spans="1:8" s="4" customFormat="1" ht="49.5" customHeight="1">
      <c r="A47" s="5">
        <v>37</v>
      </c>
      <c r="B47" s="5" t="s">
        <v>9</v>
      </c>
      <c r="C47" s="5" t="s">
        <v>121</v>
      </c>
      <c r="D47" s="5" t="s">
        <v>122</v>
      </c>
      <c r="E47" s="7" t="s">
        <v>123</v>
      </c>
      <c r="F47" s="5"/>
      <c r="G47" s="9">
        <v>12.1</v>
      </c>
      <c r="H47" s="6"/>
    </row>
    <row r="48" spans="1:8" s="4" customFormat="1" ht="23.1" customHeight="1">
      <c r="A48" s="5">
        <v>38</v>
      </c>
      <c r="B48" s="5" t="s">
        <v>9</v>
      </c>
      <c r="C48" s="5" t="s">
        <v>124</v>
      </c>
      <c r="D48" s="5" t="s">
        <v>125</v>
      </c>
      <c r="E48" s="5" t="s">
        <v>126</v>
      </c>
      <c r="F48" s="5">
        <v>992</v>
      </c>
      <c r="G48" s="9">
        <v>532</v>
      </c>
      <c r="H48" s="6">
        <f>(F48-G48)/F48</f>
        <v>0.46370967741935482</v>
      </c>
    </row>
    <row r="49" spans="1:8" s="4" customFormat="1" ht="23.1" customHeight="1">
      <c r="A49" s="5">
        <v>39</v>
      </c>
      <c r="B49" s="5" t="s">
        <v>9</v>
      </c>
      <c r="C49" s="5" t="s">
        <v>127</v>
      </c>
      <c r="D49" s="5" t="s">
        <v>128</v>
      </c>
      <c r="E49" s="5" t="s">
        <v>129</v>
      </c>
      <c r="F49" s="5">
        <v>4.67</v>
      </c>
      <c r="G49" s="9">
        <v>3</v>
      </c>
      <c r="H49" s="6">
        <f t="shared" ref="H49:H53" si="6">(F49-G49)/F49</f>
        <v>0.35760171306209848</v>
      </c>
    </row>
    <row r="50" spans="1:8" s="4" customFormat="1" ht="23.1" customHeight="1">
      <c r="A50" s="5">
        <v>40</v>
      </c>
      <c r="B50" s="5" t="s">
        <v>9</v>
      </c>
      <c r="C50" s="5" t="s">
        <v>130</v>
      </c>
      <c r="D50" s="5" t="s">
        <v>131</v>
      </c>
      <c r="E50" s="5" t="s">
        <v>132</v>
      </c>
      <c r="F50" s="5">
        <v>32.54</v>
      </c>
      <c r="G50" s="9">
        <v>8.4600000000000009</v>
      </c>
      <c r="H50" s="6">
        <f t="shared" si="6"/>
        <v>0.74001229256299939</v>
      </c>
    </row>
    <row r="51" spans="1:8" s="4" customFormat="1" ht="23.1" customHeight="1">
      <c r="A51" s="5">
        <v>40</v>
      </c>
      <c r="B51" s="5" t="s">
        <v>9</v>
      </c>
      <c r="C51" s="5" t="s">
        <v>130</v>
      </c>
      <c r="D51" s="5" t="s">
        <v>131</v>
      </c>
      <c r="E51" s="5" t="s">
        <v>133</v>
      </c>
      <c r="F51" s="5">
        <v>56</v>
      </c>
      <c r="G51" s="9">
        <v>14.56</v>
      </c>
      <c r="H51" s="6">
        <f t="shared" si="6"/>
        <v>0.74</v>
      </c>
    </row>
    <row r="52" spans="1:8" s="4" customFormat="1" ht="23.1" customHeight="1">
      <c r="A52" s="5">
        <v>41</v>
      </c>
      <c r="B52" s="5" t="s">
        <v>9</v>
      </c>
      <c r="C52" s="5" t="s">
        <v>134</v>
      </c>
      <c r="D52" s="5" t="s">
        <v>135</v>
      </c>
      <c r="E52" s="5" t="s">
        <v>136</v>
      </c>
      <c r="F52" s="5">
        <v>263.37</v>
      </c>
      <c r="G52" s="5">
        <v>92.876000000000005</v>
      </c>
      <c r="H52" s="6">
        <f t="shared" si="6"/>
        <v>0.6473554315221931</v>
      </c>
    </row>
    <row r="53" spans="1:8" s="4" customFormat="1" ht="23.1" customHeight="1">
      <c r="A53" s="5">
        <v>41</v>
      </c>
      <c r="B53" s="5" t="s">
        <v>9</v>
      </c>
      <c r="C53" s="5" t="s">
        <v>134</v>
      </c>
      <c r="D53" s="5" t="s">
        <v>135</v>
      </c>
      <c r="E53" s="5" t="s">
        <v>137</v>
      </c>
      <c r="F53" s="5">
        <v>359.25</v>
      </c>
      <c r="G53" s="5">
        <v>126.68</v>
      </c>
      <c r="H53" s="6">
        <f t="shared" si="6"/>
        <v>0.64737647877522619</v>
      </c>
    </row>
    <row r="54" spans="1:8" s="4" customFormat="1" ht="23.1" customHeight="1">
      <c r="A54" s="5">
        <v>42</v>
      </c>
      <c r="B54" s="5" t="s">
        <v>9</v>
      </c>
      <c r="C54" s="5" t="s">
        <v>138</v>
      </c>
      <c r="D54" s="5" t="s">
        <v>139</v>
      </c>
      <c r="E54" s="5" t="s">
        <v>136</v>
      </c>
      <c r="F54" s="5">
        <v>833</v>
      </c>
      <c r="G54" s="5">
        <v>200</v>
      </c>
      <c r="H54" s="6">
        <f t="shared" ref="H54" si="7">(F54-G54)/F54</f>
        <v>0.7599039615846338</v>
      </c>
    </row>
    <row r="55" spans="1:8" s="4" customFormat="1" ht="23.1" customHeight="1">
      <c r="A55" s="5">
        <v>43</v>
      </c>
      <c r="B55" s="5" t="s">
        <v>9</v>
      </c>
      <c r="C55" s="5" t="s">
        <v>140</v>
      </c>
      <c r="D55" s="5" t="s">
        <v>79</v>
      </c>
      <c r="E55" s="5" t="s">
        <v>23</v>
      </c>
      <c r="F55" s="5">
        <v>142.79</v>
      </c>
      <c r="G55" s="5">
        <v>38</v>
      </c>
      <c r="H55" s="6">
        <f>(F55-G55)/F55</f>
        <v>0.73387492121297004</v>
      </c>
    </row>
    <row r="56" spans="1:8" s="4" customFormat="1" ht="23.1" customHeight="1">
      <c r="A56" s="5">
        <v>44</v>
      </c>
      <c r="B56" s="5" t="s">
        <v>9</v>
      </c>
      <c r="C56" s="5" t="s">
        <v>141</v>
      </c>
      <c r="D56" s="5" t="s">
        <v>39</v>
      </c>
      <c r="E56" s="5" t="s">
        <v>142</v>
      </c>
      <c r="F56" s="5">
        <v>2030</v>
      </c>
      <c r="G56" s="5">
        <v>324.7</v>
      </c>
      <c r="H56" s="6">
        <f>(F56-G56)/F56</f>
        <v>0.84004926108374378</v>
      </c>
    </row>
    <row r="57" spans="1:8" s="22" customFormat="1" ht="40.5" customHeight="1">
      <c r="A57" s="7">
        <v>45</v>
      </c>
      <c r="B57" s="7" t="s">
        <v>9</v>
      </c>
      <c r="C57" s="7" t="s">
        <v>143</v>
      </c>
      <c r="D57" s="7" t="s">
        <v>144</v>
      </c>
      <c r="E57" s="7" t="s">
        <v>145</v>
      </c>
      <c r="F57" s="7"/>
      <c r="G57" s="9">
        <v>39.799999999999997</v>
      </c>
      <c r="H57" s="6"/>
    </row>
    <row r="58" spans="1:8" s="22" customFormat="1" ht="45" customHeight="1">
      <c r="A58" s="7">
        <v>45</v>
      </c>
      <c r="B58" s="7" t="s">
        <v>9</v>
      </c>
      <c r="C58" s="7" t="s">
        <v>143</v>
      </c>
      <c r="D58" s="7" t="s">
        <v>144</v>
      </c>
      <c r="E58" s="7" t="s">
        <v>146</v>
      </c>
      <c r="F58" s="7"/>
      <c r="G58" s="9">
        <v>137.44</v>
      </c>
      <c r="H58" s="6"/>
    </row>
    <row r="59" spans="1:8" s="4" customFormat="1" ht="23.1" customHeight="1">
      <c r="A59" s="5">
        <v>46</v>
      </c>
      <c r="B59" s="5" t="s">
        <v>9</v>
      </c>
      <c r="C59" s="5" t="s">
        <v>147</v>
      </c>
      <c r="D59" s="5" t="s">
        <v>148</v>
      </c>
      <c r="E59" s="5" t="s">
        <v>149</v>
      </c>
      <c r="F59" s="5">
        <v>13</v>
      </c>
      <c r="G59" s="5">
        <v>3.98</v>
      </c>
      <c r="H59" s="6">
        <f t="shared" ref="H59:H60" si="8">(F59-G59)/F59</f>
        <v>0.69384615384615378</v>
      </c>
    </row>
    <row r="60" spans="1:8" s="4" customFormat="1" ht="23.1" customHeight="1">
      <c r="A60" s="5">
        <v>47</v>
      </c>
      <c r="B60" s="5" t="s">
        <v>9</v>
      </c>
      <c r="C60" s="5" t="s">
        <v>150</v>
      </c>
      <c r="D60" s="5" t="s">
        <v>148</v>
      </c>
      <c r="E60" s="5" t="s">
        <v>12</v>
      </c>
      <c r="F60" s="5">
        <v>321.43</v>
      </c>
      <c r="G60" s="5">
        <v>69.599999999999994</v>
      </c>
      <c r="H60" s="6">
        <f t="shared" si="8"/>
        <v>0.7834676290327599</v>
      </c>
    </row>
    <row r="61" spans="1:8" s="4" customFormat="1" ht="23.1" customHeight="1">
      <c r="A61" s="5">
        <v>48</v>
      </c>
      <c r="B61" s="5" t="s">
        <v>9</v>
      </c>
      <c r="C61" s="5" t="s">
        <v>151</v>
      </c>
      <c r="D61" s="5" t="s">
        <v>82</v>
      </c>
      <c r="E61" s="5" t="s">
        <v>120</v>
      </c>
      <c r="F61" s="5">
        <v>176</v>
      </c>
      <c r="G61" s="9">
        <v>65</v>
      </c>
      <c r="H61" s="6">
        <f>(F61-G61)/F61</f>
        <v>0.63068181818181823</v>
      </c>
    </row>
    <row r="62" spans="1:8" s="4" customFormat="1" ht="23.1" customHeight="1">
      <c r="A62" s="5">
        <v>48</v>
      </c>
      <c r="B62" s="5" t="s">
        <v>9</v>
      </c>
      <c r="C62" s="5" t="s">
        <v>152</v>
      </c>
      <c r="D62" s="5" t="s">
        <v>82</v>
      </c>
      <c r="E62" s="5" t="s">
        <v>129</v>
      </c>
      <c r="F62" s="5"/>
      <c r="G62" s="9">
        <v>38.24</v>
      </c>
      <c r="H62" s="6"/>
    </row>
    <row r="63" spans="1:8" s="4" customFormat="1" ht="23.1" customHeight="1">
      <c r="A63" s="5">
        <v>49</v>
      </c>
      <c r="B63" s="5" t="s">
        <v>9</v>
      </c>
      <c r="C63" s="5" t="s">
        <v>153</v>
      </c>
      <c r="D63" s="5" t="s">
        <v>154</v>
      </c>
      <c r="E63" s="5" t="s">
        <v>155</v>
      </c>
      <c r="F63" s="5"/>
      <c r="G63" s="9">
        <v>91.8</v>
      </c>
      <c r="H63" s="6"/>
    </row>
    <row r="64" spans="1:8" s="4" customFormat="1" ht="23.1" customHeight="1">
      <c r="A64" s="5">
        <v>50</v>
      </c>
      <c r="B64" s="5" t="s">
        <v>9</v>
      </c>
      <c r="C64" s="5" t="s">
        <v>156</v>
      </c>
      <c r="D64" s="5" t="s">
        <v>157</v>
      </c>
      <c r="E64" s="5" t="s">
        <v>158</v>
      </c>
      <c r="F64" s="5">
        <v>98</v>
      </c>
      <c r="G64" s="9">
        <v>17</v>
      </c>
      <c r="H64" s="6">
        <f>(F64-G64)/F64</f>
        <v>0.82653061224489799</v>
      </c>
    </row>
    <row r="65" spans="1:8" s="4" customFormat="1" ht="54" customHeight="1">
      <c r="A65" s="5">
        <v>51</v>
      </c>
      <c r="B65" s="5" t="s">
        <v>9</v>
      </c>
      <c r="C65" s="5" t="s">
        <v>159</v>
      </c>
      <c r="D65" s="5" t="s">
        <v>160</v>
      </c>
      <c r="E65" s="7" t="s">
        <v>161</v>
      </c>
      <c r="F65" s="5">
        <v>189</v>
      </c>
      <c r="G65" s="9">
        <v>113.6</v>
      </c>
      <c r="H65" s="6">
        <f t="shared" ref="H65" si="9">(F65-G65)/F65</f>
        <v>0.39894179894179899</v>
      </c>
    </row>
    <row r="66" spans="1:8" s="4" customFormat="1" ht="48" customHeight="1">
      <c r="A66" s="5">
        <v>52</v>
      </c>
      <c r="B66" s="5" t="s">
        <v>9</v>
      </c>
      <c r="C66" s="5" t="s">
        <v>162</v>
      </c>
      <c r="D66" s="5" t="s">
        <v>163</v>
      </c>
      <c r="E66" s="7" t="s">
        <v>164</v>
      </c>
      <c r="F66" s="5"/>
      <c r="G66" s="9">
        <v>48.8</v>
      </c>
      <c r="H66" s="6"/>
    </row>
    <row r="67" spans="1:8" s="4" customFormat="1" ht="23.1" customHeight="1">
      <c r="A67" s="5">
        <v>53</v>
      </c>
      <c r="B67" s="5" t="s">
        <v>9</v>
      </c>
      <c r="C67" s="5" t="s">
        <v>165</v>
      </c>
      <c r="D67" s="5" t="s">
        <v>166</v>
      </c>
      <c r="E67" s="5" t="s">
        <v>12</v>
      </c>
      <c r="F67" s="5">
        <v>55.7</v>
      </c>
      <c r="G67" s="5">
        <v>9.6</v>
      </c>
      <c r="H67" s="6">
        <f>(F67-G67)/F67</f>
        <v>0.82764811490125667</v>
      </c>
    </row>
    <row r="68" spans="1:8" s="4" customFormat="1" ht="23.1" customHeight="1">
      <c r="A68" s="5">
        <v>54</v>
      </c>
      <c r="B68" s="5" t="s">
        <v>9</v>
      </c>
      <c r="C68" s="5" t="s">
        <v>167</v>
      </c>
      <c r="D68" s="5" t="s">
        <v>168</v>
      </c>
      <c r="E68" s="5" t="s">
        <v>169</v>
      </c>
      <c r="F68" s="5">
        <v>10688</v>
      </c>
      <c r="G68" s="5">
        <v>2180</v>
      </c>
      <c r="H68" s="6">
        <f>(F68-G68)/F68</f>
        <v>0.79603293413173648</v>
      </c>
    </row>
    <row r="69" spans="1:8" s="4" customFormat="1" ht="23.1" customHeight="1">
      <c r="A69" s="5">
        <v>55</v>
      </c>
      <c r="B69" s="5" t="s">
        <v>9</v>
      </c>
      <c r="C69" s="5" t="s">
        <v>170</v>
      </c>
      <c r="D69" s="5" t="s">
        <v>82</v>
      </c>
      <c r="E69" s="5" t="s">
        <v>171</v>
      </c>
      <c r="F69" s="5">
        <v>490</v>
      </c>
      <c r="G69" s="9">
        <v>176</v>
      </c>
      <c r="H69" s="6">
        <f t="shared" ref="H69:H71" si="10">(F69-G69)/F69</f>
        <v>0.64081632653061227</v>
      </c>
    </row>
    <row r="70" spans="1:8" s="4" customFormat="1" ht="51" customHeight="1">
      <c r="A70" s="5">
        <v>56</v>
      </c>
      <c r="B70" s="5" t="s">
        <v>9</v>
      </c>
      <c r="C70" s="5" t="s">
        <v>172</v>
      </c>
      <c r="D70" s="7" t="s">
        <v>173</v>
      </c>
      <c r="E70" s="5" t="s">
        <v>174</v>
      </c>
      <c r="F70" s="5">
        <v>5570.8</v>
      </c>
      <c r="G70" s="5">
        <v>4726.8</v>
      </c>
      <c r="H70" s="6">
        <f t="shared" si="10"/>
        <v>0.15150427227687227</v>
      </c>
    </row>
    <row r="71" spans="1:8" s="4" customFormat="1" ht="23.1" customHeight="1">
      <c r="A71" s="5">
        <v>57</v>
      </c>
      <c r="B71" s="5" t="s">
        <v>9</v>
      </c>
      <c r="C71" s="5" t="s">
        <v>175</v>
      </c>
      <c r="D71" s="5" t="s">
        <v>176</v>
      </c>
      <c r="E71" s="5" t="s">
        <v>33</v>
      </c>
      <c r="F71" s="5">
        <v>13.6</v>
      </c>
      <c r="G71" s="5">
        <v>4.68</v>
      </c>
      <c r="H71" s="6">
        <f t="shared" si="10"/>
        <v>0.65588235294117647</v>
      </c>
    </row>
    <row r="72" spans="1:8" s="4" customFormat="1" ht="23.1" customHeight="1">
      <c r="A72" s="5">
        <v>58</v>
      </c>
      <c r="B72" s="5" t="s">
        <v>9</v>
      </c>
      <c r="C72" s="5" t="s">
        <v>177</v>
      </c>
      <c r="D72" s="5" t="s">
        <v>178</v>
      </c>
      <c r="E72" s="5" t="s">
        <v>179</v>
      </c>
      <c r="F72" s="5">
        <v>5298</v>
      </c>
      <c r="G72" s="5">
        <v>1060</v>
      </c>
      <c r="H72" s="6">
        <f t="shared" ref="H72:H80" si="11">(F72-G72)/F72</f>
        <v>0.79992449981124958</v>
      </c>
    </row>
    <row r="73" spans="1:8" s="4" customFormat="1" ht="23.1" customHeight="1">
      <c r="A73" s="5">
        <v>59</v>
      </c>
      <c r="B73" s="5" t="s">
        <v>9</v>
      </c>
      <c r="C73" s="5" t="s">
        <v>180</v>
      </c>
      <c r="D73" s="5" t="s">
        <v>32</v>
      </c>
      <c r="E73" s="5" t="s">
        <v>33</v>
      </c>
      <c r="F73" s="5">
        <v>560</v>
      </c>
      <c r="G73" s="5">
        <v>108</v>
      </c>
      <c r="H73" s="6">
        <f t="shared" si="11"/>
        <v>0.80714285714285716</v>
      </c>
    </row>
    <row r="74" spans="1:8" s="17" customFormat="1" ht="23.1" customHeight="1">
      <c r="A74" s="5">
        <v>60</v>
      </c>
      <c r="B74" s="5" t="s">
        <v>9</v>
      </c>
      <c r="C74" s="5" t="s">
        <v>181</v>
      </c>
      <c r="D74" s="5" t="s">
        <v>182</v>
      </c>
      <c r="E74" s="29" t="s">
        <v>363</v>
      </c>
      <c r="F74" s="5">
        <v>3105.5</v>
      </c>
      <c r="G74" s="29">
        <v>906.08</v>
      </c>
      <c r="H74" s="6">
        <f t="shared" ref="H74" si="12">(F74-G74)/F74</f>
        <v>0.7082337787795846</v>
      </c>
    </row>
    <row r="75" spans="1:8" s="4" customFormat="1" ht="23.1" customHeight="1">
      <c r="A75" s="5">
        <v>60</v>
      </c>
      <c r="B75" s="5" t="s">
        <v>9</v>
      </c>
      <c r="C75" s="5" t="s">
        <v>181</v>
      </c>
      <c r="D75" s="5" t="s">
        <v>182</v>
      </c>
      <c r="E75" s="29" t="s">
        <v>183</v>
      </c>
      <c r="F75" s="5">
        <v>7200</v>
      </c>
      <c r="G75" s="29">
        <v>2100.9699999999998</v>
      </c>
      <c r="H75" s="6">
        <f t="shared" si="11"/>
        <v>0.70819861111111115</v>
      </c>
    </row>
    <row r="76" spans="1:8" s="4" customFormat="1" ht="23.1" customHeight="1">
      <c r="A76" s="5">
        <v>61</v>
      </c>
      <c r="B76" s="5" t="s">
        <v>9</v>
      </c>
      <c r="C76" s="5" t="s">
        <v>184</v>
      </c>
      <c r="D76" s="5" t="s">
        <v>154</v>
      </c>
      <c r="E76" s="5" t="s">
        <v>185</v>
      </c>
      <c r="F76" s="5">
        <v>19800</v>
      </c>
      <c r="G76" s="5">
        <v>2928</v>
      </c>
      <c r="H76" s="6">
        <f t="shared" si="11"/>
        <v>0.85212121212121217</v>
      </c>
    </row>
    <row r="77" spans="1:8" s="4" customFormat="1" ht="23.1" customHeight="1">
      <c r="A77" s="5">
        <v>62</v>
      </c>
      <c r="B77" s="5" t="s">
        <v>9</v>
      </c>
      <c r="C77" s="5" t="s">
        <v>186</v>
      </c>
      <c r="D77" s="5" t="s">
        <v>15</v>
      </c>
      <c r="E77" s="5" t="s">
        <v>25</v>
      </c>
      <c r="F77" s="5">
        <v>318.81</v>
      </c>
      <c r="G77" s="5">
        <v>127.85</v>
      </c>
      <c r="H77" s="6">
        <f t="shared" si="11"/>
        <v>0.59897744738245351</v>
      </c>
    </row>
    <row r="78" spans="1:8" s="4" customFormat="1" ht="23.1" customHeight="1">
      <c r="A78" s="5">
        <v>62</v>
      </c>
      <c r="B78" s="5" t="s">
        <v>9</v>
      </c>
      <c r="C78" s="5" t="s">
        <v>186</v>
      </c>
      <c r="D78" s="5" t="s">
        <v>15</v>
      </c>
      <c r="E78" s="5" t="s">
        <v>23</v>
      </c>
      <c r="F78" s="5">
        <v>921.6</v>
      </c>
      <c r="G78" s="5">
        <v>369.5</v>
      </c>
      <c r="H78" s="6">
        <f t="shared" si="11"/>
        <v>0.59906684027777779</v>
      </c>
    </row>
    <row r="79" spans="1:8" s="4" customFormat="1" ht="23.1" customHeight="1">
      <c r="A79" s="5">
        <v>63</v>
      </c>
      <c r="B79" s="5" t="s">
        <v>9</v>
      </c>
      <c r="C79" s="5" t="s">
        <v>187</v>
      </c>
      <c r="D79" s="5" t="s">
        <v>15</v>
      </c>
      <c r="E79" s="5" t="s">
        <v>188</v>
      </c>
      <c r="F79" s="5">
        <v>345.6</v>
      </c>
      <c r="G79" s="5">
        <v>92.38</v>
      </c>
      <c r="H79" s="6">
        <f t="shared" si="11"/>
        <v>0.73269675925925926</v>
      </c>
    </row>
    <row r="80" spans="1:8" s="4" customFormat="1" ht="23.1" customHeight="1">
      <c r="A80" s="5">
        <v>64</v>
      </c>
      <c r="B80" s="5" t="s">
        <v>9</v>
      </c>
      <c r="C80" s="5" t="s">
        <v>189</v>
      </c>
      <c r="D80" s="5" t="s">
        <v>190</v>
      </c>
      <c r="E80" s="5" t="s">
        <v>95</v>
      </c>
      <c r="F80" s="5">
        <v>1530</v>
      </c>
      <c r="G80" s="5">
        <v>590</v>
      </c>
      <c r="H80" s="6">
        <f t="shared" si="11"/>
        <v>0.6143790849673203</v>
      </c>
    </row>
    <row r="81" spans="1:8" s="4" customFormat="1" ht="23.1" customHeight="1">
      <c r="A81" s="5">
        <v>65</v>
      </c>
      <c r="B81" s="5" t="s">
        <v>9</v>
      </c>
      <c r="C81" s="5" t="s">
        <v>191</v>
      </c>
      <c r="D81" s="5" t="s">
        <v>168</v>
      </c>
      <c r="E81" s="5" t="s">
        <v>192</v>
      </c>
      <c r="F81" s="5"/>
      <c r="G81" s="5">
        <v>99</v>
      </c>
      <c r="H81" s="6"/>
    </row>
    <row r="82" spans="1:8" s="4" customFormat="1" ht="23.1" customHeight="1">
      <c r="A82" s="5">
        <v>66</v>
      </c>
      <c r="B82" s="5" t="s">
        <v>9</v>
      </c>
      <c r="C82" s="5" t="s">
        <v>193</v>
      </c>
      <c r="D82" s="5"/>
      <c r="E82" s="5"/>
      <c r="F82" s="5"/>
      <c r="G82" s="5">
        <v>228</v>
      </c>
      <c r="H82" s="6"/>
    </row>
    <row r="83" spans="1:8" s="4" customFormat="1" ht="23.1" customHeight="1">
      <c r="A83" s="5"/>
      <c r="B83" s="5"/>
      <c r="C83" s="5"/>
      <c r="D83" s="5"/>
      <c r="E83" s="5"/>
      <c r="F83" s="5"/>
      <c r="G83" s="5"/>
      <c r="H83" s="6"/>
    </row>
    <row r="84" spans="1:8" s="4" customFormat="1" ht="23.1" customHeight="1">
      <c r="A84" s="30" t="s">
        <v>194</v>
      </c>
      <c r="B84" s="30"/>
      <c r="C84" s="30"/>
      <c r="D84" s="30"/>
      <c r="E84" s="30"/>
      <c r="F84" s="30"/>
      <c r="G84" s="30"/>
      <c r="H84" s="30"/>
    </row>
    <row r="85" spans="1:8" s="4" customFormat="1" ht="72.75" customHeight="1">
      <c r="A85" s="2" t="s">
        <v>1</v>
      </c>
      <c r="B85" s="2" t="s">
        <v>2</v>
      </c>
      <c r="C85" s="2" t="s">
        <v>3</v>
      </c>
      <c r="D85" s="2" t="s">
        <v>4</v>
      </c>
      <c r="E85" s="2" t="s">
        <v>5</v>
      </c>
      <c r="F85" s="2" t="s">
        <v>6</v>
      </c>
      <c r="G85" s="26" t="s">
        <v>7</v>
      </c>
      <c r="H85" s="3" t="s">
        <v>8</v>
      </c>
    </row>
    <row r="86" spans="1:8" s="4" customFormat="1" ht="23.1" customHeight="1">
      <c r="A86" s="5">
        <v>1</v>
      </c>
      <c r="B86" s="5" t="s">
        <v>9</v>
      </c>
      <c r="C86" s="5" t="s">
        <v>196</v>
      </c>
      <c r="D86" s="5" t="s">
        <v>197</v>
      </c>
      <c r="E86" s="5" t="s">
        <v>198</v>
      </c>
      <c r="F86" s="5"/>
      <c r="G86" s="9">
        <v>2.36</v>
      </c>
      <c r="H86" s="6"/>
    </row>
    <row r="87" spans="1:8" s="4" customFormat="1" ht="23.1" customHeight="1">
      <c r="A87" s="5">
        <v>1</v>
      </c>
      <c r="B87" s="5" t="s">
        <v>9</v>
      </c>
      <c r="C87" s="5" t="s">
        <v>199</v>
      </c>
      <c r="D87" s="5" t="s">
        <v>197</v>
      </c>
      <c r="E87" s="5" t="s">
        <v>200</v>
      </c>
      <c r="F87" s="5"/>
      <c r="G87" s="9">
        <v>4.01</v>
      </c>
      <c r="H87" s="6"/>
    </row>
    <row r="88" spans="1:8" s="4" customFormat="1" ht="38.25" customHeight="1">
      <c r="A88" s="5">
        <v>2</v>
      </c>
      <c r="B88" s="5" t="s">
        <v>9</v>
      </c>
      <c r="C88" s="5" t="s">
        <v>201</v>
      </c>
      <c r="D88" s="5" t="s">
        <v>202</v>
      </c>
      <c r="E88" s="7" t="s">
        <v>203</v>
      </c>
      <c r="F88" s="5">
        <v>14.95</v>
      </c>
      <c r="G88" s="9">
        <v>10.98</v>
      </c>
      <c r="H88" s="6">
        <f t="shared" ref="H88:H118" si="13">(F88-G88)/F88</f>
        <v>0.26555183946488287</v>
      </c>
    </row>
    <row r="89" spans="1:8" s="4" customFormat="1" ht="23.1" customHeight="1">
      <c r="A89" s="5">
        <v>3</v>
      </c>
      <c r="B89" s="5" t="s">
        <v>9</v>
      </c>
      <c r="C89" s="7" t="s">
        <v>204</v>
      </c>
      <c r="D89" s="7" t="s">
        <v>205</v>
      </c>
      <c r="E89" s="5" t="s">
        <v>95</v>
      </c>
      <c r="F89" s="5">
        <v>12</v>
      </c>
      <c r="G89" s="9">
        <v>4.88</v>
      </c>
      <c r="H89" s="6">
        <f t="shared" si="13"/>
        <v>0.59333333333333338</v>
      </c>
    </row>
    <row r="90" spans="1:8" s="4" customFormat="1" ht="33" customHeight="1">
      <c r="A90" s="5">
        <v>4</v>
      </c>
      <c r="B90" s="5" t="s">
        <v>206</v>
      </c>
      <c r="C90" s="7" t="s">
        <v>207</v>
      </c>
      <c r="D90" s="7" t="s">
        <v>208</v>
      </c>
      <c r="E90" s="5" t="s">
        <v>209</v>
      </c>
      <c r="F90" s="5"/>
      <c r="G90" s="9">
        <v>3.08</v>
      </c>
      <c r="H90" s="6"/>
    </row>
    <row r="91" spans="1:8" s="4" customFormat="1" ht="33" customHeight="1">
      <c r="A91" s="5">
        <v>4</v>
      </c>
      <c r="B91" s="5" t="s">
        <v>206</v>
      </c>
      <c r="C91" s="7" t="s">
        <v>207</v>
      </c>
      <c r="D91" s="7" t="s">
        <v>208</v>
      </c>
      <c r="E91" s="5" t="s">
        <v>210</v>
      </c>
      <c r="F91" s="5">
        <v>6.06</v>
      </c>
      <c r="G91" s="9">
        <v>5.24</v>
      </c>
      <c r="H91" s="6">
        <f t="shared" si="13"/>
        <v>0.13531353135313523</v>
      </c>
    </row>
    <row r="92" spans="1:8" s="4" customFormat="1" ht="37.5" customHeight="1">
      <c r="A92" s="5">
        <v>5</v>
      </c>
      <c r="B92" s="5" t="s">
        <v>9</v>
      </c>
      <c r="C92" s="5" t="s">
        <v>211</v>
      </c>
      <c r="D92" s="7" t="s">
        <v>212</v>
      </c>
      <c r="E92" s="5" t="s">
        <v>198</v>
      </c>
      <c r="F92" s="5">
        <v>0.9</v>
      </c>
      <c r="G92" s="9">
        <v>0.66</v>
      </c>
      <c r="H92" s="6">
        <f t="shared" si="13"/>
        <v>0.26666666666666666</v>
      </c>
    </row>
    <row r="93" spans="1:8" s="4" customFormat="1" ht="23.1" customHeight="1">
      <c r="A93" s="5">
        <v>6</v>
      </c>
      <c r="B93" s="5" t="s">
        <v>9</v>
      </c>
      <c r="C93" s="5" t="s">
        <v>213</v>
      </c>
      <c r="D93" s="5" t="s">
        <v>214</v>
      </c>
      <c r="E93" s="5" t="s">
        <v>215</v>
      </c>
      <c r="F93" s="5">
        <v>1.53</v>
      </c>
      <c r="G93" s="9">
        <v>1.5</v>
      </c>
      <c r="H93" s="6">
        <f t="shared" si="13"/>
        <v>1.9607843137254919E-2</v>
      </c>
    </row>
    <row r="94" spans="1:8" s="4" customFormat="1" ht="23.1" customHeight="1">
      <c r="A94" s="5">
        <v>7</v>
      </c>
      <c r="B94" s="5" t="s">
        <v>9</v>
      </c>
      <c r="C94" s="5" t="s">
        <v>216</v>
      </c>
      <c r="D94" s="5" t="s">
        <v>217</v>
      </c>
      <c r="E94" s="5" t="s">
        <v>215</v>
      </c>
      <c r="F94" s="5">
        <v>2.39</v>
      </c>
      <c r="G94" s="9">
        <v>1.98</v>
      </c>
      <c r="H94" s="6">
        <f t="shared" si="13"/>
        <v>0.17154811715481177</v>
      </c>
    </row>
    <row r="95" spans="1:8" s="4" customFormat="1" ht="23.1" customHeight="1">
      <c r="A95" s="5">
        <v>8</v>
      </c>
      <c r="B95" s="5" t="s">
        <v>9</v>
      </c>
      <c r="C95" s="5" t="s">
        <v>218</v>
      </c>
      <c r="D95" s="5" t="s">
        <v>219</v>
      </c>
      <c r="E95" s="5" t="s">
        <v>220</v>
      </c>
      <c r="F95" s="5"/>
      <c r="G95" s="9">
        <v>1.28</v>
      </c>
      <c r="H95" s="6"/>
    </row>
    <row r="96" spans="1:8" s="4" customFormat="1" ht="23.1" customHeight="1">
      <c r="A96" s="5">
        <v>8</v>
      </c>
      <c r="B96" s="5" t="s">
        <v>9</v>
      </c>
      <c r="C96" s="5" t="s">
        <v>221</v>
      </c>
      <c r="D96" s="5" t="s">
        <v>219</v>
      </c>
      <c r="E96" s="5" t="s">
        <v>222</v>
      </c>
      <c r="F96" s="5">
        <v>2.5299999999999998</v>
      </c>
      <c r="G96" s="9">
        <v>2.1800000000000002</v>
      </c>
      <c r="H96" s="6">
        <f t="shared" si="13"/>
        <v>0.13833992094861647</v>
      </c>
    </row>
    <row r="97" spans="1:8" s="4" customFormat="1" ht="23.1" customHeight="1">
      <c r="A97" s="5">
        <v>9</v>
      </c>
      <c r="B97" s="5" t="s">
        <v>9</v>
      </c>
      <c r="C97" s="5" t="s">
        <v>223</v>
      </c>
      <c r="D97" s="5" t="s">
        <v>224</v>
      </c>
      <c r="E97" s="5" t="s">
        <v>225</v>
      </c>
      <c r="F97" s="5">
        <v>0.85</v>
      </c>
      <c r="G97" s="9">
        <v>0.47</v>
      </c>
      <c r="H97" s="6">
        <f t="shared" si="13"/>
        <v>0.44705882352941179</v>
      </c>
    </row>
    <row r="98" spans="1:8" s="4" customFormat="1" ht="23.1" customHeight="1">
      <c r="A98" s="5">
        <v>10</v>
      </c>
      <c r="B98" s="5" t="s">
        <v>9</v>
      </c>
      <c r="C98" s="5" t="s">
        <v>226</v>
      </c>
      <c r="D98" s="5" t="s">
        <v>227</v>
      </c>
      <c r="E98" s="5" t="s">
        <v>228</v>
      </c>
      <c r="F98" s="5">
        <v>1.07</v>
      </c>
      <c r="G98" s="9">
        <v>0.7</v>
      </c>
      <c r="H98" s="6">
        <f t="shared" si="13"/>
        <v>0.34579439252336458</v>
      </c>
    </row>
    <row r="99" spans="1:8" s="4" customFormat="1" ht="23.1" customHeight="1">
      <c r="A99" s="5">
        <v>11</v>
      </c>
      <c r="B99" s="5" t="s">
        <v>9</v>
      </c>
      <c r="C99" s="5" t="s">
        <v>229</v>
      </c>
      <c r="D99" s="5" t="s">
        <v>230</v>
      </c>
      <c r="E99" s="5" t="s">
        <v>231</v>
      </c>
      <c r="F99" s="5">
        <v>5.53</v>
      </c>
      <c r="G99" s="9">
        <v>2.68</v>
      </c>
      <c r="H99" s="6">
        <f t="shared" si="13"/>
        <v>0.51537070524412298</v>
      </c>
    </row>
    <row r="100" spans="1:8" s="4" customFormat="1" ht="23.1" customHeight="1">
      <c r="A100" s="5">
        <v>12</v>
      </c>
      <c r="B100" s="5" t="s">
        <v>9</v>
      </c>
      <c r="C100" s="5" t="s">
        <v>232</v>
      </c>
      <c r="D100" s="5" t="s">
        <v>233</v>
      </c>
      <c r="E100" s="5" t="s">
        <v>234</v>
      </c>
      <c r="F100" s="5"/>
      <c r="G100" s="9">
        <v>2.98</v>
      </c>
      <c r="H100" s="6"/>
    </row>
    <row r="101" spans="1:8" s="4" customFormat="1" ht="23.1" customHeight="1">
      <c r="A101" s="5">
        <v>13</v>
      </c>
      <c r="B101" s="5" t="s">
        <v>9</v>
      </c>
      <c r="C101" s="5" t="s">
        <v>235</v>
      </c>
      <c r="D101" s="5" t="s">
        <v>236</v>
      </c>
      <c r="E101" s="5" t="s">
        <v>237</v>
      </c>
      <c r="F101" s="5">
        <v>0.91</v>
      </c>
      <c r="G101" s="9">
        <v>0.56000000000000005</v>
      </c>
      <c r="H101" s="6">
        <f t="shared" si="13"/>
        <v>0.38461538461538458</v>
      </c>
    </row>
    <row r="102" spans="1:8" s="4" customFormat="1" ht="23.1" customHeight="1">
      <c r="A102" s="5">
        <v>14</v>
      </c>
      <c r="B102" s="5" t="s">
        <v>9</v>
      </c>
      <c r="C102" s="5" t="s">
        <v>238</v>
      </c>
      <c r="D102" s="5" t="s">
        <v>219</v>
      </c>
      <c r="E102" s="5" t="s">
        <v>239</v>
      </c>
      <c r="F102" s="5">
        <v>4.75</v>
      </c>
      <c r="G102" s="9">
        <v>3.55</v>
      </c>
      <c r="H102" s="6">
        <f t="shared" si="13"/>
        <v>0.25263157894736848</v>
      </c>
    </row>
    <row r="103" spans="1:8" s="4" customFormat="1" ht="23.1" customHeight="1">
      <c r="A103" s="5">
        <v>15</v>
      </c>
      <c r="B103" s="5" t="s">
        <v>9</v>
      </c>
      <c r="C103" s="5" t="s">
        <v>240</v>
      </c>
      <c r="D103" s="5" t="s">
        <v>241</v>
      </c>
      <c r="E103" s="5" t="s">
        <v>237</v>
      </c>
      <c r="F103" s="5">
        <v>1.44</v>
      </c>
      <c r="G103" s="9">
        <v>0.98</v>
      </c>
      <c r="H103" s="6">
        <f t="shared" si="13"/>
        <v>0.31944444444444442</v>
      </c>
    </row>
    <row r="104" spans="1:8" s="4" customFormat="1" ht="23.1" customHeight="1">
      <c r="A104" s="5">
        <v>16</v>
      </c>
      <c r="B104" s="5" t="s">
        <v>9</v>
      </c>
      <c r="C104" s="5" t="s">
        <v>242</v>
      </c>
      <c r="D104" s="5" t="s">
        <v>243</v>
      </c>
      <c r="E104" s="5" t="s">
        <v>231</v>
      </c>
      <c r="F104" s="5">
        <v>1.1599999999999999</v>
      </c>
      <c r="G104" s="9">
        <v>0.41</v>
      </c>
      <c r="H104" s="6">
        <f t="shared" si="13"/>
        <v>0.64655172413793105</v>
      </c>
    </row>
    <row r="105" spans="1:8" s="4" customFormat="1" ht="23.1" customHeight="1">
      <c r="A105" s="5">
        <v>17</v>
      </c>
      <c r="B105" s="5" t="s">
        <v>9</v>
      </c>
      <c r="C105" s="5" t="s">
        <v>244</v>
      </c>
      <c r="D105" s="5" t="s">
        <v>245</v>
      </c>
      <c r="E105" s="5" t="s">
        <v>231</v>
      </c>
      <c r="F105" s="5">
        <v>0.65</v>
      </c>
      <c r="G105" s="9">
        <v>0.4</v>
      </c>
      <c r="H105" s="6">
        <f t="shared" si="13"/>
        <v>0.38461538461538458</v>
      </c>
    </row>
    <row r="106" spans="1:8" s="4" customFormat="1" ht="23.1" customHeight="1">
      <c r="A106" s="5">
        <v>18</v>
      </c>
      <c r="B106" s="5" t="s">
        <v>9</v>
      </c>
      <c r="C106" s="5" t="s">
        <v>246</v>
      </c>
      <c r="D106" s="5" t="s">
        <v>247</v>
      </c>
      <c r="E106" s="5" t="s">
        <v>237</v>
      </c>
      <c r="F106" s="5">
        <v>0.86</v>
      </c>
      <c r="G106" s="9">
        <v>0.36</v>
      </c>
      <c r="H106" s="6">
        <f t="shared" si="13"/>
        <v>0.58139534883720934</v>
      </c>
    </row>
    <row r="107" spans="1:8" s="4" customFormat="1" ht="23.1" customHeight="1">
      <c r="A107" s="5">
        <v>19</v>
      </c>
      <c r="B107" s="5" t="s">
        <v>9</v>
      </c>
      <c r="C107" s="5" t="s">
        <v>248</v>
      </c>
      <c r="D107" s="5" t="s">
        <v>249</v>
      </c>
      <c r="E107" s="5" t="s">
        <v>250</v>
      </c>
      <c r="F107" s="5">
        <v>0.95</v>
      </c>
      <c r="G107" s="9">
        <v>0.72</v>
      </c>
      <c r="H107" s="6">
        <f t="shared" si="13"/>
        <v>0.24210526315789474</v>
      </c>
    </row>
    <row r="108" spans="1:8" s="4" customFormat="1" ht="23.1" customHeight="1">
      <c r="A108" s="5">
        <v>20</v>
      </c>
      <c r="B108" s="5" t="s">
        <v>9</v>
      </c>
      <c r="C108" s="5" t="s">
        <v>251</v>
      </c>
      <c r="D108" s="5" t="s">
        <v>252</v>
      </c>
      <c r="E108" s="5" t="s">
        <v>253</v>
      </c>
      <c r="F108" s="5">
        <v>87.93</v>
      </c>
      <c r="G108" s="9">
        <v>26</v>
      </c>
      <c r="H108" s="6">
        <f t="shared" si="13"/>
        <v>0.7043102467872171</v>
      </c>
    </row>
    <row r="109" spans="1:8" s="4" customFormat="1" ht="23.1" customHeight="1">
      <c r="A109" s="5">
        <v>21</v>
      </c>
      <c r="B109" s="5" t="s">
        <v>9</v>
      </c>
      <c r="C109" s="5" t="s">
        <v>254</v>
      </c>
      <c r="D109" s="5" t="s">
        <v>255</v>
      </c>
      <c r="E109" s="5" t="s">
        <v>256</v>
      </c>
      <c r="F109" s="5"/>
      <c r="G109" s="9">
        <v>13.24</v>
      </c>
      <c r="H109" s="6"/>
    </row>
    <row r="110" spans="1:8" s="4" customFormat="1" ht="23.1" customHeight="1">
      <c r="A110" s="5">
        <v>21</v>
      </c>
      <c r="B110" s="5" t="s">
        <v>9</v>
      </c>
      <c r="C110" s="5" t="s">
        <v>257</v>
      </c>
      <c r="D110" s="5" t="s">
        <v>255</v>
      </c>
      <c r="E110" s="5" t="s">
        <v>258</v>
      </c>
      <c r="F110" s="5">
        <v>33.11</v>
      </c>
      <c r="G110" s="9">
        <v>22.5</v>
      </c>
      <c r="H110" s="6">
        <f t="shared" si="13"/>
        <v>0.32044699486559952</v>
      </c>
    </row>
    <row r="111" spans="1:8" s="4" customFormat="1" ht="23.1" customHeight="1">
      <c r="A111" s="5">
        <v>22</v>
      </c>
      <c r="B111" s="5" t="s">
        <v>9</v>
      </c>
      <c r="C111" s="5" t="s">
        <v>259</v>
      </c>
      <c r="D111" s="5" t="s">
        <v>247</v>
      </c>
      <c r="E111" s="5" t="s">
        <v>45</v>
      </c>
      <c r="F111" s="5">
        <v>2.29</v>
      </c>
      <c r="G111" s="9">
        <v>1.65</v>
      </c>
      <c r="H111" s="6">
        <f t="shared" si="13"/>
        <v>0.27947598253275113</v>
      </c>
    </row>
    <row r="112" spans="1:8" s="4" customFormat="1" ht="23.1" customHeight="1">
      <c r="A112" s="5">
        <v>23</v>
      </c>
      <c r="B112" s="5" t="s">
        <v>9</v>
      </c>
      <c r="C112" s="5" t="s">
        <v>260</v>
      </c>
      <c r="D112" s="5" t="s">
        <v>261</v>
      </c>
      <c r="E112" s="5" t="s">
        <v>45</v>
      </c>
      <c r="F112" s="5">
        <v>3.5</v>
      </c>
      <c r="G112" s="9">
        <v>1.87</v>
      </c>
      <c r="H112" s="6">
        <f t="shared" si="13"/>
        <v>0.46571428571428569</v>
      </c>
    </row>
    <row r="113" spans="1:8" s="4" customFormat="1" ht="23.1" customHeight="1">
      <c r="A113" s="5">
        <v>24</v>
      </c>
      <c r="B113" s="5" t="s">
        <v>9</v>
      </c>
      <c r="C113" s="5" t="s">
        <v>262</v>
      </c>
      <c r="D113" s="5" t="s">
        <v>263</v>
      </c>
      <c r="E113" s="5" t="s">
        <v>264</v>
      </c>
      <c r="F113" s="5">
        <v>8.25</v>
      </c>
      <c r="G113" s="9">
        <v>3.07</v>
      </c>
      <c r="H113" s="6">
        <f t="shared" si="13"/>
        <v>0.62787878787878781</v>
      </c>
    </row>
    <row r="114" spans="1:8" s="4" customFormat="1" ht="45.75" customHeight="1">
      <c r="A114" s="5">
        <v>25</v>
      </c>
      <c r="B114" s="5" t="s">
        <v>9</v>
      </c>
      <c r="C114" s="5" t="s">
        <v>265</v>
      </c>
      <c r="D114" s="7" t="s">
        <v>266</v>
      </c>
      <c r="E114" s="7" t="s">
        <v>267</v>
      </c>
      <c r="F114" s="5">
        <v>23.22</v>
      </c>
      <c r="G114" s="9">
        <v>17.96</v>
      </c>
      <c r="H114" s="6">
        <f t="shared" si="13"/>
        <v>0.2265288544358311</v>
      </c>
    </row>
    <row r="115" spans="1:8" s="4" customFormat="1" ht="23.1" customHeight="1">
      <c r="A115" s="5">
        <v>26</v>
      </c>
      <c r="B115" s="5" t="s">
        <v>9</v>
      </c>
      <c r="C115" s="5" t="s">
        <v>268</v>
      </c>
      <c r="D115" s="5" t="s">
        <v>269</v>
      </c>
      <c r="E115" s="5" t="s">
        <v>270</v>
      </c>
      <c r="F115" s="5">
        <v>2.02</v>
      </c>
      <c r="G115" s="9">
        <v>1.29</v>
      </c>
      <c r="H115" s="6">
        <f t="shared" si="13"/>
        <v>0.36138613861386137</v>
      </c>
    </row>
    <row r="116" spans="1:8" s="4" customFormat="1" ht="23.1" customHeight="1">
      <c r="A116" s="5">
        <v>27</v>
      </c>
      <c r="B116" s="5" t="s">
        <v>9</v>
      </c>
      <c r="C116" s="5" t="s">
        <v>271</v>
      </c>
      <c r="D116" s="5" t="s">
        <v>272</v>
      </c>
      <c r="E116" s="5" t="s">
        <v>273</v>
      </c>
      <c r="F116" s="5">
        <v>5.13</v>
      </c>
      <c r="G116" s="9">
        <v>3.33</v>
      </c>
      <c r="H116" s="6">
        <f t="shared" si="13"/>
        <v>0.35087719298245612</v>
      </c>
    </row>
    <row r="117" spans="1:8" s="4" customFormat="1" ht="23.1" customHeight="1">
      <c r="A117" s="5">
        <v>28</v>
      </c>
      <c r="B117" s="5" t="s">
        <v>9</v>
      </c>
      <c r="C117" s="5" t="s">
        <v>274</v>
      </c>
      <c r="D117" s="5" t="s">
        <v>249</v>
      </c>
      <c r="E117" s="5" t="s">
        <v>275</v>
      </c>
      <c r="F117" s="5">
        <v>0.87</v>
      </c>
      <c r="G117" s="9">
        <v>0.64</v>
      </c>
      <c r="H117" s="6">
        <f t="shared" si="13"/>
        <v>0.26436781609195398</v>
      </c>
    </row>
    <row r="118" spans="1:8" s="4" customFormat="1" ht="23.1" customHeight="1">
      <c r="A118" s="5">
        <v>29</v>
      </c>
      <c r="B118" s="5" t="s">
        <v>9</v>
      </c>
      <c r="C118" s="5" t="s">
        <v>276</v>
      </c>
      <c r="D118" s="5" t="s">
        <v>277</v>
      </c>
      <c r="E118" s="5" t="s">
        <v>209</v>
      </c>
      <c r="F118" s="5">
        <v>35</v>
      </c>
      <c r="G118" s="9">
        <v>11.6</v>
      </c>
      <c r="H118" s="6">
        <f t="shared" si="13"/>
        <v>0.66857142857142848</v>
      </c>
    </row>
    <row r="119" spans="1:8" s="4" customFormat="1" ht="23.1" customHeight="1">
      <c r="A119" s="5">
        <v>30</v>
      </c>
      <c r="B119" s="5" t="s">
        <v>9</v>
      </c>
      <c r="C119" s="5" t="s">
        <v>278</v>
      </c>
      <c r="D119" s="5" t="s">
        <v>279</v>
      </c>
      <c r="E119" s="5" t="s">
        <v>280</v>
      </c>
      <c r="F119" s="5"/>
      <c r="G119" s="9">
        <v>55</v>
      </c>
      <c r="H119" s="6"/>
    </row>
    <row r="120" spans="1:8" s="4" customFormat="1" ht="23.1" customHeight="1">
      <c r="A120" s="17"/>
      <c r="B120" s="5"/>
      <c r="C120" s="5"/>
      <c r="D120" s="5"/>
      <c r="E120" s="5"/>
      <c r="F120" s="5"/>
      <c r="G120" s="5"/>
      <c r="H120" s="6"/>
    </row>
  </sheetData>
  <autoFilter ref="A2:H82" xr:uid="{321AF645-7CA5-4906-93D1-59E332E117BD}"/>
  <mergeCells count="2">
    <mergeCell ref="A1:H1"/>
    <mergeCell ref="A84:H8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FAD1-3323-44AE-80EE-9817E19D1209}">
  <dimension ref="A1:H39"/>
  <sheetViews>
    <sheetView tabSelected="1" workbookViewId="0">
      <selection activeCell="L8" sqref="L8"/>
    </sheetView>
  </sheetViews>
  <sheetFormatPr defaultRowHeight="14.25"/>
  <cols>
    <col min="1" max="1" width="4.25" customWidth="1"/>
    <col min="2" max="2" width="7.375" customWidth="1"/>
    <col min="3" max="3" width="16.875" customWidth="1"/>
    <col min="4" max="4" width="11.125" customWidth="1"/>
    <col min="5" max="5" width="15.875" customWidth="1"/>
    <col min="6" max="6" width="11.75" customWidth="1"/>
    <col min="7" max="7" width="11.375" customWidth="1"/>
    <col min="8" max="8" width="7.375" style="19" customWidth="1"/>
  </cols>
  <sheetData>
    <row r="1" spans="1:8" ht="23.1" customHeight="1">
      <c r="A1" s="31" t="s">
        <v>282</v>
      </c>
      <c r="B1" s="31"/>
      <c r="C1" s="31"/>
      <c r="D1" s="31"/>
      <c r="E1" s="31"/>
      <c r="F1" s="31"/>
      <c r="G1" s="31"/>
      <c r="H1" s="31"/>
    </row>
    <row r="2" spans="1:8" ht="54" customHeight="1">
      <c r="A2" s="23" t="s">
        <v>283</v>
      </c>
      <c r="B2" s="23" t="s">
        <v>284</v>
      </c>
      <c r="C2" s="23" t="s">
        <v>285</v>
      </c>
      <c r="D2" s="23" t="s">
        <v>286</v>
      </c>
      <c r="E2" s="23" t="s">
        <v>287</v>
      </c>
      <c r="F2" s="24" t="s">
        <v>344</v>
      </c>
      <c r="G2" s="24" t="s">
        <v>289</v>
      </c>
      <c r="H2" s="25" t="s">
        <v>288</v>
      </c>
    </row>
    <row r="3" spans="1:8" ht="23.1" customHeight="1">
      <c r="A3" s="16">
        <v>1</v>
      </c>
      <c r="B3" s="16" t="s">
        <v>290</v>
      </c>
      <c r="C3" s="16" t="s">
        <v>291</v>
      </c>
      <c r="D3" s="16" t="s">
        <v>292</v>
      </c>
      <c r="E3" s="16" t="s">
        <v>250</v>
      </c>
      <c r="F3" s="16">
        <v>0.75</v>
      </c>
      <c r="G3" s="15">
        <v>0.46500000000000002</v>
      </c>
      <c r="H3" s="21">
        <f>(F3-G3)/F3</f>
        <v>0.37999999999999995</v>
      </c>
    </row>
    <row r="4" spans="1:8" ht="23.1" customHeight="1">
      <c r="A4" s="16">
        <v>2</v>
      </c>
      <c r="B4" s="16" t="s">
        <v>290</v>
      </c>
      <c r="C4" s="16" t="s">
        <v>345</v>
      </c>
      <c r="D4" s="16" t="s">
        <v>294</v>
      </c>
      <c r="E4" s="16" t="s">
        <v>295</v>
      </c>
      <c r="F4" s="16">
        <v>60.4</v>
      </c>
      <c r="G4" s="15">
        <v>57.38</v>
      </c>
      <c r="H4" s="21">
        <f t="shared" ref="H4:H5" si="0">(F4-G4)/F4</f>
        <v>4.9999999999999933E-2</v>
      </c>
    </row>
    <row r="5" spans="1:8" ht="23.1" customHeight="1">
      <c r="A5" s="16">
        <v>2</v>
      </c>
      <c r="B5" s="16" t="s">
        <v>290</v>
      </c>
      <c r="C5" s="16" t="s">
        <v>293</v>
      </c>
      <c r="D5" s="16" t="s">
        <v>294</v>
      </c>
      <c r="E5" s="16" t="s">
        <v>296</v>
      </c>
      <c r="F5" s="16">
        <v>207</v>
      </c>
      <c r="G5" s="15">
        <v>196.65</v>
      </c>
      <c r="H5" s="21">
        <f t="shared" si="0"/>
        <v>4.9999999999999975E-2</v>
      </c>
    </row>
    <row r="6" spans="1:8" ht="23.1" customHeight="1">
      <c r="A6" s="16">
        <v>3</v>
      </c>
      <c r="B6" s="16" t="s">
        <v>290</v>
      </c>
      <c r="C6" s="16" t="s">
        <v>346</v>
      </c>
      <c r="D6" s="16" t="s">
        <v>298</v>
      </c>
      <c r="E6" s="16" t="s">
        <v>299</v>
      </c>
      <c r="F6" s="16">
        <v>4399</v>
      </c>
      <c r="G6" s="15"/>
      <c r="H6" s="21"/>
    </row>
    <row r="7" spans="1:8" ht="23.1" customHeight="1">
      <c r="A7" s="16">
        <v>3</v>
      </c>
      <c r="B7" s="16" t="s">
        <v>290</v>
      </c>
      <c r="C7" s="16" t="s">
        <v>297</v>
      </c>
      <c r="D7" s="16" t="s">
        <v>298</v>
      </c>
      <c r="E7" s="16" t="s">
        <v>300</v>
      </c>
      <c r="F7" s="16">
        <v>3229.4</v>
      </c>
      <c r="G7" s="15"/>
      <c r="H7" s="21"/>
    </row>
    <row r="8" spans="1:8" ht="23.1" customHeight="1">
      <c r="A8" s="16">
        <v>3</v>
      </c>
      <c r="B8" s="16" t="s">
        <v>290</v>
      </c>
      <c r="C8" s="16" t="s">
        <v>297</v>
      </c>
      <c r="D8" s="16" t="s">
        <v>298</v>
      </c>
      <c r="E8" s="16" t="s">
        <v>301</v>
      </c>
      <c r="F8" s="16">
        <v>3957.9</v>
      </c>
      <c r="G8" s="15"/>
      <c r="H8" s="21"/>
    </row>
    <row r="9" spans="1:8" ht="23.1" customHeight="1">
      <c r="A9" s="16">
        <v>4</v>
      </c>
      <c r="B9" s="16" t="s">
        <v>290</v>
      </c>
      <c r="C9" s="16" t="s">
        <v>347</v>
      </c>
      <c r="D9" s="16" t="s">
        <v>302</v>
      </c>
      <c r="E9" s="16" t="s">
        <v>303</v>
      </c>
      <c r="F9" s="16">
        <v>510</v>
      </c>
      <c r="G9" s="15">
        <v>186</v>
      </c>
      <c r="H9" s="21">
        <f>(F9-G9)/F9</f>
        <v>0.63529411764705879</v>
      </c>
    </row>
    <row r="10" spans="1:8" ht="23.1" customHeight="1">
      <c r="A10" s="16">
        <v>5</v>
      </c>
      <c r="B10" s="16" t="s">
        <v>290</v>
      </c>
      <c r="C10" s="16" t="s">
        <v>348</v>
      </c>
      <c r="D10" s="16" t="s">
        <v>294</v>
      </c>
      <c r="E10" s="16" t="s">
        <v>306</v>
      </c>
      <c r="F10" s="16">
        <v>260</v>
      </c>
      <c r="G10" s="15"/>
      <c r="H10" s="21"/>
    </row>
    <row r="11" spans="1:8" ht="23.1" customHeight="1">
      <c r="A11" s="16">
        <v>5</v>
      </c>
      <c r="B11" s="16" t="s">
        <v>290</v>
      </c>
      <c r="C11" s="16" t="s">
        <v>305</v>
      </c>
      <c r="D11" s="16" t="s">
        <v>294</v>
      </c>
      <c r="E11" s="16" t="s">
        <v>307</v>
      </c>
      <c r="F11" s="16">
        <v>219.2</v>
      </c>
      <c r="G11" s="15"/>
      <c r="H11" s="21"/>
    </row>
    <row r="12" spans="1:8" ht="23.1" customHeight="1">
      <c r="A12" s="16">
        <v>6</v>
      </c>
      <c r="B12" s="16" t="s">
        <v>290</v>
      </c>
      <c r="C12" s="16" t="s">
        <v>349</v>
      </c>
      <c r="D12" s="16" t="s">
        <v>309</v>
      </c>
      <c r="E12" s="16" t="s">
        <v>310</v>
      </c>
      <c r="F12" s="16">
        <v>76</v>
      </c>
      <c r="G12" s="15">
        <v>74.36</v>
      </c>
      <c r="H12" s="21">
        <f t="shared" ref="H12:H13" si="1">(F12-G12)/F12</f>
        <v>2.1578947368421059E-2</v>
      </c>
    </row>
    <row r="13" spans="1:8" ht="23.1" customHeight="1">
      <c r="A13" s="16">
        <v>6</v>
      </c>
      <c r="B13" s="16" t="s">
        <v>290</v>
      </c>
      <c r="C13" s="16" t="s">
        <v>308</v>
      </c>
      <c r="D13" s="16" t="s">
        <v>309</v>
      </c>
      <c r="E13" s="16" t="s">
        <v>359</v>
      </c>
      <c r="F13" s="16">
        <v>94.7</v>
      </c>
      <c r="G13" s="15">
        <v>92.68</v>
      </c>
      <c r="H13" s="21">
        <f t="shared" si="1"/>
        <v>2.1330517423442406E-2</v>
      </c>
    </row>
    <row r="14" spans="1:8" ht="23.1" customHeight="1">
      <c r="A14" s="16">
        <v>7</v>
      </c>
      <c r="B14" s="16" t="s">
        <v>290</v>
      </c>
      <c r="C14" s="16" t="s">
        <v>350</v>
      </c>
      <c r="D14" s="16" t="s">
        <v>312</v>
      </c>
      <c r="E14" s="16" t="s">
        <v>313</v>
      </c>
      <c r="F14" s="16">
        <v>1477.7</v>
      </c>
      <c r="G14" s="15"/>
      <c r="H14" s="21"/>
    </row>
    <row r="15" spans="1:8" ht="23.1" customHeight="1">
      <c r="A15" s="16">
        <v>7</v>
      </c>
      <c r="B15" s="16" t="s">
        <v>290</v>
      </c>
      <c r="C15" s="16" t="s">
        <v>311</v>
      </c>
      <c r="D15" s="16" t="s">
        <v>312</v>
      </c>
      <c r="E15" s="16" t="s">
        <v>314</v>
      </c>
      <c r="F15" s="16">
        <v>2980</v>
      </c>
      <c r="G15" s="15"/>
      <c r="H15" s="21"/>
    </row>
    <row r="16" spans="1:8" ht="23.1" customHeight="1">
      <c r="A16" s="16">
        <v>8</v>
      </c>
      <c r="B16" s="16" t="s">
        <v>290</v>
      </c>
      <c r="C16" s="16" t="s">
        <v>351</v>
      </c>
      <c r="D16" s="16" t="s">
        <v>309</v>
      </c>
      <c r="E16" s="16" t="s">
        <v>316</v>
      </c>
      <c r="F16" s="16">
        <v>272</v>
      </c>
      <c r="G16" s="15"/>
      <c r="H16" s="21"/>
    </row>
    <row r="17" spans="1:8" ht="23.1" customHeight="1">
      <c r="A17" s="16">
        <v>8</v>
      </c>
      <c r="B17" s="16" t="s">
        <v>290</v>
      </c>
      <c r="C17" s="16" t="s">
        <v>315</v>
      </c>
      <c r="D17" s="16" t="s">
        <v>309</v>
      </c>
      <c r="E17" s="16" t="s">
        <v>317</v>
      </c>
      <c r="F17" s="16">
        <v>160</v>
      </c>
      <c r="G17" s="15">
        <v>160</v>
      </c>
      <c r="H17" s="21">
        <f>(F17-G17)/F17</f>
        <v>0</v>
      </c>
    </row>
    <row r="18" spans="1:8" ht="23.1" customHeight="1">
      <c r="A18" s="16">
        <v>9</v>
      </c>
      <c r="B18" s="16" t="s">
        <v>290</v>
      </c>
      <c r="C18" s="16" t="s">
        <v>352</v>
      </c>
      <c r="D18" s="16" t="s">
        <v>318</v>
      </c>
      <c r="E18" s="16" t="s">
        <v>304</v>
      </c>
      <c r="F18" s="16">
        <v>196</v>
      </c>
      <c r="G18" s="15">
        <v>172.48</v>
      </c>
      <c r="H18" s="21">
        <f>(F18-G18)/F18</f>
        <v>0.12000000000000005</v>
      </c>
    </row>
    <row r="19" spans="1:8" ht="23.1" customHeight="1">
      <c r="A19" s="16">
        <v>10</v>
      </c>
      <c r="B19" s="16" t="s">
        <v>290</v>
      </c>
      <c r="C19" s="16" t="s">
        <v>361</v>
      </c>
      <c r="D19" s="16" t="s">
        <v>309</v>
      </c>
      <c r="E19" s="16" t="s">
        <v>310</v>
      </c>
      <c r="F19" s="16">
        <v>198</v>
      </c>
      <c r="G19" s="28">
        <v>136</v>
      </c>
      <c r="H19" s="21">
        <f>(F19-G19)/F19</f>
        <v>0.31313131313131315</v>
      </c>
    </row>
    <row r="20" spans="1:8" ht="23.1" customHeight="1">
      <c r="A20" s="16">
        <v>11</v>
      </c>
      <c r="B20" s="16" t="s">
        <v>290</v>
      </c>
      <c r="C20" s="16" t="s">
        <v>319</v>
      </c>
      <c r="D20" s="16" t="s">
        <v>320</v>
      </c>
      <c r="E20" s="16" t="s">
        <v>321</v>
      </c>
      <c r="F20" s="16">
        <v>112</v>
      </c>
      <c r="G20" s="15">
        <v>89.69</v>
      </c>
      <c r="H20" s="21">
        <f t="shared" ref="H20" si="2">(F20-G20)/F20</f>
        <v>0.19919642857142858</v>
      </c>
    </row>
    <row r="21" spans="1:8" ht="23.1" customHeight="1">
      <c r="A21" s="16">
        <v>12</v>
      </c>
      <c r="B21" s="16" t="s">
        <v>290</v>
      </c>
      <c r="C21" s="16" t="s">
        <v>353</v>
      </c>
      <c r="D21" s="16" t="s">
        <v>323</v>
      </c>
      <c r="E21" s="16" t="s">
        <v>324</v>
      </c>
      <c r="F21" s="16">
        <v>1295</v>
      </c>
      <c r="G21" s="20">
        <v>1204.3499999999999</v>
      </c>
      <c r="H21" s="21">
        <f>(F21-G21)/F21</f>
        <v>7.0000000000000076E-2</v>
      </c>
    </row>
    <row r="22" spans="1:8" ht="23.1" customHeight="1">
      <c r="A22" s="16">
        <v>13</v>
      </c>
      <c r="B22" s="16" t="s">
        <v>290</v>
      </c>
      <c r="C22" s="16" t="s">
        <v>325</v>
      </c>
      <c r="D22" s="16" t="s">
        <v>326</v>
      </c>
      <c r="E22" s="16" t="s">
        <v>327</v>
      </c>
      <c r="F22" s="16">
        <v>423.6</v>
      </c>
      <c r="G22" s="15">
        <v>266.89999999999998</v>
      </c>
      <c r="H22" s="21">
        <f>(F22-G22)/F22</f>
        <v>0.3699244570349387</v>
      </c>
    </row>
    <row r="23" spans="1:8" ht="23.1" customHeight="1">
      <c r="A23" s="16">
        <v>13</v>
      </c>
      <c r="B23" s="16" t="s">
        <v>290</v>
      </c>
      <c r="C23" s="16" t="s">
        <v>325</v>
      </c>
      <c r="D23" s="16" t="s">
        <v>326</v>
      </c>
      <c r="E23" s="16" t="s">
        <v>328</v>
      </c>
      <c r="F23" s="16">
        <v>487</v>
      </c>
      <c r="G23" s="15">
        <v>306.88</v>
      </c>
      <c r="H23" s="21">
        <f t="shared" ref="H23:H27" si="3">(F23-G23)/F23</f>
        <v>0.36985626283367556</v>
      </c>
    </row>
    <row r="24" spans="1:8" ht="23.1" customHeight="1">
      <c r="A24" s="16">
        <v>13</v>
      </c>
      <c r="B24" s="16" t="s">
        <v>290</v>
      </c>
      <c r="C24" s="16" t="s">
        <v>325</v>
      </c>
      <c r="D24" s="16" t="s">
        <v>326</v>
      </c>
      <c r="E24" s="16" t="s">
        <v>329</v>
      </c>
      <c r="F24" s="16">
        <v>357</v>
      </c>
      <c r="G24" s="15">
        <v>224.99</v>
      </c>
      <c r="H24" s="21">
        <f t="shared" si="3"/>
        <v>0.36977591036414564</v>
      </c>
    </row>
    <row r="25" spans="1:8" ht="23.1" customHeight="1">
      <c r="A25" s="16">
        <v>14</v>
      </c>
      <c r="B25" s="16" t="s">
        <v>290</v>
      </c>
      <c r="C25" s="16" t="s">
        <v>354</v>
      </c>
      <c r="D25" s="16" t="s">
        <v>330</v>
      </c>
      <c r="E25" s="16" t="s">
        <v>331</v>
      </c>
      <c r="F25" s="16">
        <v>189</v>
      </c>
      <c r="G25" s="15"/>
      <c r="H25" s="21"/>
    </row>
    <row r="26" spans="1:8" ht="23.1" customHeight="1">
      <c r="A26" s="16">
        <v>15</v>
      </c>
      <c r="B26" s="16" t="s">
        <v>290</v>
      </c>
      <c r="C26" s="16" t="s">
        <v>355</v>
      </c>
      <c r="D26" s="16" t="s">
        <v>309</v>
      </c>
      <c r="E26" s="16" t="s">
        <v>333</v>
      </c>
      <c r="F26" s="16">
        <v>7911</v>
      </c>
      <c r="G26" s="15">
        <v>7215.39</v>
      </c>
      <c r="H26" s="21">
        <f t="shared" si="3"/>
        <v>8.792946530147891E-2</v>
      </c>
    </row>
    <row r="27" spans="1:8" ht="23.1" customHeight="1">
      <c r="A27" s="16">
        <v>15</v>
      </c>
      <c r="B27" s="16" t="s">
        <v>290</v>
      </c>
      <c r="C27" s="16" t="s">
        <v>332</v>
      </c>
      <c r="D27" s="16" t="s">
        <v>309</v>
      </c>
      <c r="E27" s="16" t="s">
        <v>334</v>
      </c>
      <c r="F27" s="16">
        <v>5800</v>
      </c>
      <c r="G27" s="15">
        <v>5290</v>
      </c>
      <c r="H27" s="21">
        <f t="shared" si="3"/>
        <v>8.7931034482758616E-2</v>
      </c>
    </row>
    <row r="28" spans="1:8" ht="23.1" customHeight="1">
      <c r="A28" s="14"/>
      <c r="B28" s="14"/>
      <c r="C28" s="14"/>
      <c r="D28" s="14"/>
      <c r="E28" s="14"/>
      <c r="F28" s="13"/>
      <c r="G28" s="13"/>
      <c r="H28" s="18"/>
    </row>
    <row r="29" spans="1:8" ht="23.1" customHeight="1">
      <c r="A29" s="31" t="s">
        <v>335</v>
      </c>
      <c r="B29" s="31"/>
      <c r="C29" s="31"/>
      <c r="D29" s="31"/>
      <c r="E29" s="31"/>
      <c r="F29" s="31"/>
      <c r="G29" s="31"/>
      <c r="H29" s="31"/>
    </row>
    <row r="30" spans="1:8" ht="71.25" customHeight="1">
      <c r="A30" s="15">
        <v>1</v>
      </c>
      <c r="B30" s="15" t="s">
        <v>290</v>
      </c>
      <c r="C30" s="15" t="s">
        <v>356</v>
      </c>
      <c r="D30" s="15" t="s">
        <v>336</v>
      </c>
      <c r="E30" s="15" t="s">
        <v>337</v>
      </c>
      <c r="F30" s="15">
        <v>1290</v>
      </c>
      <c r="G30" s="13"/>
      <c r="H30" s="18"/>
    </row>
    <row r="31" spans="1:8" ht="23.1" customHeight="1">
      <c r="A31" s="15">
        <v>2</v>
      </c>
      <c r="B31" s="15" t="s">
        <v>290</v>
      </c>
      <c r="C31" s="15" t="s">
        <v>338</v>
      </c>
      <c r="D31" s="15" t="s">
        <v>302</v>
      </c>
      <c r="E31" s="15" t="s">
        <v>339</v>
      </c>
      <c r="F31" s="15">
        <v>169</v>
      </c>
      <c r="G31" s="15">
        <v>101.79</v>
      </c>
      <c r="H31" s="21">
        <f>(F31-G31)/F31</f>
        <v>0.39769230769230768</v>
      </c>
    </row>
    <row r="32" spans="1:8" ht="23.1" customHeight="1">
      <c r="A32" s="15">
        <v>3</v>
      </c>
      <c r="B32" s="15" t="s">
        <v>290</v>
      </c>
      <c r="C32" s="15" t="s">
        <v>340</v>
      </c>
      <c r="D32" s="15" t="s">
        <v>302</v>
      </c>
      <c r="E32" s="15" t="s">
        <v>303</v>
      </c>
      <c r="F32" s="15">
        <v>510</v>
      </c>
      <c r="G32" s="15">
        <v>186</v>
      </c>
      <c r="H32" s="21">
        <f>(F32-G32)/F32</f>
        <v>0.63529411764705879</v>
      </c>
    </row>
    <row r="33" spans="1:8" ht="23.1" customHeight="1">
      <c r="A33" s="15">
        <v>4</v>
      </c>
      <c r="B33" s="15" t="s">
        <v>290</v>
      </c>
      <c r="C33" s="15" t="s">
        <v>341</v>
      </c>
      <c r="D33" s="15" t="s">
        <v>309</v>
      </c>
      <c r="E33" s="15" t="s">
        <v>310</v>
      </c>
      <c r="F33" s="15">
        <v>198</v>
      </c>
      <c r="G33" s="28">
        <v>136</v>
      </c>
      <c r="H33" s="21">
        <f>(F33-G33)/F33</f>
        <v>0.31313131313131315</v>
      </c>
    </row>
    <row r="34" spans="1:8" ht="23.1" customHeight="1">
      <c r="A34" s="15">
        <v>5</v>
      </c>
      <c r="B34" s="15" t="s">
        <v>290</v>
      </c>
      <c r="C34" s="15" t="s">
        <v>322</v>
      </c>
      <c r="D34" s="15" t="s">
        <v>323</v>
      </c>
      <c r="E34" s="15" t="s">
        <v>324</v>
      </c>
      <c r="F34" s="15">
        <v>1295</v>
      </c>
      <c r="G34" s="20">
        <v>1204.3499999999999</v>
      </c>
      <c r="H34" s="21">
        <f>(F34-G34)/F34</f>
        <v>7.0000000000000076E-2</v>
      </c>
    </row>
    <row r="35" spans="1:8" ht="23.1" customHeight="1">
      <c r="A35" s="15">
        <v>6</v>
      </c>
      <c r="B35" s="15" t="s">
        <v>290</v>
      </c>
      <c r="C35" s="15" t="s">
        <v>357</v>
      </c>
      <c r="D35" s="15" t="s">
        <v>326</v>
      </c>
      <c r="E35" s="15" t="s">
        <v>327</v>
      </c>
      <c r="F35" s="15">
        <v>423.6</v>
      </c>
      <c r="G35" s="15">
        <v>266.89999999999998</v>
      </c>
      <c r="H35" s="21">
        <f>(F35-G35)/F35</f>
        <v>0.3699244570349387</v>
      </c>
    </row>
    <row r="36" spans="1:8" ht="23.1" customHeight="1">
      <c r="A36" s="15">
        <v>6</v>
      </c>
      <c r="B36" s="15" t="s">
        <v>290</v>
      </c>
      <c r="C36" s="15" t="s">
        <v>325</v>
      </c>
      <c r="D36" s="15" t="s">
        <v>326</v>
      </c>
      <c r="E36" s="15" t="s">
        <v>328</v>
      </c>
      <c r="F36" s="15">
        <v>487</v>
      </c>
      <c r="G36" s="15">
        <v>306.88</v>
      </c>
      <c r="H36" s="21">
        <f t="shared" ref="H36:H37" si="4">(F36-G36)/F36</f>
        <v>0.36985626283367556</v>
      </c>
    </row>
    <row r="37" spans="1:8" ht="23.1" customHeight="1">
      <c r="A37" s="15">
        <v>6</v>
      </c>
      <c r="B37" s="15" t="s">
        <v>290</v>
      </c>
      <c r="C37" s="15" t="s">
        <v>325</v>
      </c>
      <c r="D37" s="15" t="s">
        <v>326</v>
      </c>
      <c r="E37" s="15" t="s">
        <v>329</v>
      </c>
      <c r="F37" s="15">
        <v>357</v>
      </c>
      <c r="G37" s="15">
        <v>224.99</v>
      </c>
      <c r="H37" s="21">
        <f t="shared" si="4"/>
        <v>0.36977591036414564</v>
      </c>
    </row>
    <row r="38" spans="1:8" ht="23.1" customHeight="1">
      <c r="A38" s="15">
        <v>7</v>
      </c>
      <c r="B38" s="15" t="s">
        <v>290</v>
      </c>
      <c r="C38" s="15" t="s">
        <v>362</v>
      </c>
      <c r="D38" s="15" t="s">
        <v>330</v>
      </c>
      <c r="E38" s="15" t="s">
        <v>331</v>
      </c>
      <c r="F38" s="15">
        <v>189</v>
      </c>
      <c r="G38" s="15"/>
      <c r="H38" s="18"/>
    </row>
    <row r="39" spans="1:8" ht="23.1" customHeight="1">
      <c r="A39" s="15">
        <v>8</v>
      </c>
      <c r="B39" s="15" t="s">
        <v>195</v>
      </c>
      <c r="C39" s="15" t="s">
        <v>358</v>
      </c>
      <c r="D39" s="15" t="s">
        <v>342</v>
      </c>
      <c r="E39" s="15" t="s">
        <v>343</v>
      </c>
      <c r="F39" s="15">
        <v>22.08</v>
      </c>
      <c r="G39" s="15"/>
      <c r="H39" s="18"/>
    </row>
  </sheetData>
  <mergeCells count="2">
    <mergeCell ref="A1:H1"/>
    <mergeCell ref="A29:H29"/>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降幅拆规格</vt:lpstr>
      <vt:lpstr>续约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Queena Chuen</cp:lastModifiedBy>
  <dcterms:created xsi:type="dcterms:W3CDTF">2020-12-28T08:06:40Z</dcterms:created>
  <dcterms:modified xsi:type="dcterms:W3CDTF">2021-09-28T09:39:26Z</dcterms:modified>
</cp:coreProperties>
</file>